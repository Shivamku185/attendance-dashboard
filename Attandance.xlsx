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hivam jaiswal\Desktop\"/>
    </mc:Choice>
  </mc:AlternateContent>
  <xr:revisionPtr revIDLastSave="0" documentId="8_{4FFD2270-3769-44A9-A623-C310A82B277D}" xr6:coauthVersionLast="36" xr6:coauthVersionMax="36" xr10:uidLastSave="{00000000-0000-0000-0000-000000000000}"/>
  <bookViews>
    <workbookView xWindow="0" yWindow="0" windowWidth="23040" windowHeight="8688" xr2:uid="{00000000-000D-0000-FFFF-FFFF00000000}"/>
  </bookViews>
  <sheets>
    <sheet name="JAN" sheetId="2" r:id="rId1"/>
    <sheet name="FEB" sheetId="4" r:id="rId2"/>
    <sheet name="MAR" sheetId="5" r:id="rId3"/>
    <sheet name="APR" sheetId="6" r:id="rId4"/>
    <sheet name="MAY" sheetId="7" r:id="rId5"/>
    <sheet name="JUN" sheetId="8" r:id="rId6"/>
    <sheet name="JUL" sheetId="9" r:id="rId7"/>
    <sheet name="AUG" sheetId="10" r:id="rId8"/>
    <sheet name="SEP" sheetId="11" r:id="rId9"/>
    <sheet name="OCT" sheetId="12" r:id="rId10"/>
    <sheet name="NOV" sheetId="13" r:id="rId11"/>
    <sheet name="DEC" sheetId="14" r:id="rId12"/>
    <sheet name="rough" sheetId="3" r:id="rId13"/>
    <sheet name="Sheet1" sheetId="1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U10" i="5" l="1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9" i="5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34" i="8"/>
  <c r="AU35" i="8"/>
  <c r="AU36" i="8"/>
  <c r="AU37" i="8"/>
  <c r="AU38" i="8"/>
  <c r="AU9" i="8"/>
  <c r="AU10" i="9"/>
  <c r="AU11" i="9"/>
  <c r="AU12" i="9"/>
  <c r="AU13" i="9"/>
  <c r="AU14" i="9"/>
  <c r="AU15" i="9"/>
  <c r="AU16" i="9"/>
  <c r="AU17" i="9"/>
  <c r="AU18" i="9"/>
  <c r="AU19" i="9"/>
  <c r="AU20" i="9"/>
  <c r="AU21" i="9"/>
  <c r="AU22" i="9"/>
  <c r="AU23" i="9"/>
  <c r="AU24" i="9"/>
  <c r="AU25" i="9"/>
  <c r="AU26" i="9"/>
  <c r="AU27" i="9"/>
  <c r="AU28" i="9"/>
  <c r="AU29" i="9"/>
  <c r="AU30" i="9"/>
  <c r="AU31" i="9"/>
  <c r="AU32" i="9"/>
  <c r="AU33" i="9"/>
  <c r="AU34" i="9"/>
  <c r="AU35" i="9"/>
  <c r="AU36" i="9"/>
  <c r="AU37" i="9"/>
  <c r="AU38" i="9"/>
  <c r="AU9" i="9"/>
  <c r="AU10" i="10"/>
  <c r="AU11" i="10"/>
  <c r="AU12" i="10"/>
  <c r="AU13" i="10"/>
  <c r="AU14" i="10"/>
  <c r="AU15" i="10"/>
  <c r="AU16" i="10"/>
  <c r="AU17" i="10"/>
  <c r="AU18" i="10"/>
  <c r="AU19" i="10"/>
  <c r="AU20" i="10"/>
  <c r="AU21" i="10"/>
  <c r="AU22" i="10"/>
  <c r="AU23" i="10"/>
  <c r="AU24" i="10"/>
  <c r="AU25" i="10"/>
  <c r="AU26" i="10"/>
  <c r="AU27" i="10"/>
  <c r="AU28" i="10"/>
  <c r="AU29" i="10"/>
  <c r="AU30" i="10"/>
  <c r="AU31" i="10"/>
  <c r="AU32" i="10"/>
  <c r="AU33" i="10"/>
  <c r="AU34" i="10"/>
  <c r="AU35" i="10"/>
  <c r="AU36" i="10"/>
  <c r="AU37" i="10"/>
  <c r="AU38" i="10"/>
  <c r="AU9" i="10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33" i="11"/>
  <c r="AU34" i="11"/>
  <c r="AU35" i="11"/>
  <c r="AU36" i="11"/>
  <c r="AU37" i="11"/>
  <c r="AU38" i="11"/>
  <c r="AU9" i="11"/>
  <c r="AU10" i="12"/>
  <c r="AU11" i="12"/>
  <c r="AU12" i="12"/>
  <c r="AU13" i="12"/>
  <c r="AU14" i="12"/>
  <c r="AU15" i="12"/>
  <c r="AU16" i="12"/>
  <c r="AU17" i="12"/>
  <c r="AU18" i="12"/>
  <c r="AU19" i="12"/>
  <c r="AU20" i="12"/>
  <c r="AU21" i="12"/>
  <c r="AU22" i="12"/>
  <c r="AU23" i="12"/>
  <c r="AU24" i="12"/>
  <c r="AU25" i="12"/>
  <c r="AU26" i="12"/>
  <c r="AU27" i="12"/>
  <c r="AU28" i="12"/>
  <c r="AU29" i="12"/>
  <c r="AU30" i="12"/>
  <c r="AU31" i="12"/>
  <c r="AU32" i="12"/>
  <c r="AU33" i="12"/>
  <c r="AU34" i="12"/>
  <c r="AU35" i="12"/>
  <c r="AU36" i="12"/>
  <c r="AU37" i="12"/>
  <c r="AU38" i="12"/>
  <c r="AU9" i="12"/>
  <c r="AU10" i="13"/>
  <c r="AU11" i="13"/>
  <c r="AU12" i="13"/>
  <c r="AU13" i="13"/>
  <c r="AU14" i="13"/>
  <c r="AU15" i="13"/>
  <c r="AU16" i="13"/>
  <c r="AU17" i="13"/>
  <c r="AU18" i="13"/>
  <c r="AU19" i="13"/>
  <c r="AU20" i="13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9" i="13"/>
  <c r="AU10" i="14"/>
  <c r="AU11" i="14"/>
  <c r="AU12" i="14"/>
  <c r="AU13" i="14"/>
  <c r="AU14" i="14"/>
  <c r="AU15" i="14"/>
  <c r="AU16" i="14"/>
  <c r="AU17" i="14"/>
  <c r="AU18" i="14"/>
  <c r="AU19" i="14"/>
  <c r="AU20" i="14"/>
  <c r="AU21" i="14"/>
  <c r="AU22" i="14"/>
  <c r="AU23" i="14"/>
  <c r="AU24" i="14"/>
  <c r="AU25" i="14"/>
  <c r="AU26" i="14"/>
  <c r="AU27" i="14"/>
  <c r="AU28" i="14"/>
  <c r="AU29" i="14"/>
  <c r="AU30" i="14"/>
  <c r="AU31" i="14"/>
  <c r="AU32" i="14"/>
  <c r="AU33" i="14"/>
  <c r="AU34" i="14"/>
  <c r="AU35" i="14"/>
  <c r="AU36" i="14"/>
  <c r="AU37" i="14"/>
  <c r="AU38" i="14"/>
  <c r="AU9" i="14"/>
  <c r="AU10" i="7"/>
  <c r="AU11" i="7"/>
  <c r="AU12" i="7"/>
  <c r="AU13" i="7"/>
  <c r="AU14" i="7"/>
  <c r="AU15" i="7"/>
  <c r="AU16" i="7"/>
  <c r="AU17" i="7"/>
  <c r="AU18" i="7"/>
  <c r="AU19" i="7"/>
  <c r="AU20" i="7"/>
  <c r="AU21" i="7"/>
  <c r="AU22" i="7"/>
  <c r="AU23" i="7"/>
  <c r="AU24" i="7"/>
  <c r="AU25" i="7"/>
  <c r="AU26" i="7"/>
  <c r="AU27" i="7"/>
  <c r="AU28" i="7"/>
  <c r="AU29" i="7"/>
  <c r="AU30" i="7"/>
  <c r="AU31" i="7"/>
  <c r="AU32" i="7"/>
  <c r="AU33" i="7"/>
  <c r="AU34" i="7"/>
  <c r="AU35" i="7"/>
  <c r="AU36" i="7"/>
  <c r="AU37" i="7"/>
  <c r="AU38" i="7"/>
  <c r="AU9" i="7"/>
  <c r="AU10" i="6"/>
  <c r="AU11" i="6"/>
  <c r="AU12" i="6"/>
  <c r="AU13" i="6"/>
  <c r="AU14" i="6"/>
  <c r="AU15" i="6"/>
  <c r="AU16" i="6"/>
  <c r="AU17" i="6"/>
  <c r="AU18" i="6"/>
  <c r="AU19" i="6"/>
  <c r="AU20" i="6"/>
  <c r="AU21" i="6"/>
  <c r="AU22" i="6"/>
  <c r="AU23" i="6"/>
  <c r="AU24" i="6"/>
  <c r="AU25" i="6"/>
  <c r="AU26" i="6"/>
  <c r="AU27" i="6"/>
  <c r="AU28" i="6"/>
  <c r="AU29" i="6"/>
  <c r="AU30" i="6"/>
  <c r="AU31" i="6"/>
  <c r="AU32" i="6"/>
  <c r="AU33" i="6"/>
  <c r="AU34" i="6"/>
  <c r="AU35" i="6"/>
  <c r="AU36" i="6"/>
  <c r="AU37" i="6"/>
  <c r="AU38" i="6"/>
  <c r="AU9" i="6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9" i="2"/>
  <c r="AU13" i="4"/>
  <c r="AU14" i="4"/>
  <c r="AU15" i="4"/>
  <c r="AU16" i="4"/>
  <c r="AU17" i="4"/>
  <c r="AU18" i="4"/>
  <c r="AU19" i="4"/>
  <c r="AU20" i="4"/>
  <c r="AU21" i="4"/>
  <c r="AU22" i="4"/>
  <c r="AU23" i="4"/>
  <c r="AU24" i="4"/>
  <c r="AU25" i="4"/>
  <c r="AU26" i="4"/>
  <c r="AU27" i="4"/>
  <c r="AU28" i="4"/>
  <c r="AU29" i="4"/>
  <c r="AU30" i="4"/>
  <c r="AU31" i="4"/>
  <c r="AU32" i="4"/>
  <c r="AU33" i="4"/>
  <c r="AU34" i="4"/>
  <c r="AU35" i="4"/>
  <c r="AU36" i="4"/>
  <c r="AU37" i="4"/>
  <c r="AU38" i="4"/>
  <c r="AU10" i="4"/>
  <c r="AU11" i="4"/>
  <c r="AU12" i="4"/>
  <c r="AU9" i="4"/>
  <c r="K8" i="14" l="1"/>
  <c r="K7" i="14" s="1"/>
  <c r="L5" i="14"/>
  <c r="I5" i="14" s="1"/>
  <c r="AZ30" i="14" s="1"/>
  <c r="J5" i="14"/>
  <c r="AT24" i="14" s="1"/>
  <c r="AT38" i="13"/>
  <c r="AT33" i="13"/>
  <c r="K8" i="13"/>
  <c r="K7" i="13" s="1"/>
  <c r="K22" i="13" s="1"/>
  <c r="L5" i="13"/>
  <c r="I5" i="13" s="1"/>
  <c r="J5" i="13"/>
  <c r="AT32" i="13" s="1"/>
  <c r="AZ36" i="12"/>
  <c r="BC36" i="12" s="1"/>
  <c r="AZ15" i="12"/>
  <c r="K8" i="12"/>
  <c r="K7" i="12" s="1"/>
  <c r="L5" i="12"/>
  <c r="I5" i="12" s="1"/>
  <c r="AZ37" i="12" s="1"/>
  <c r="J5" i="12"/>
  <c r="AT37" i="12" s="1"/>
  <c r="K8" i="11"/>
  <c r="K7" i="11"/>
  <c r="L5" i="11"/>
  <c r="J5" i="11"/>
  <c r="AT34" i="11" s="1"/>
  <c r="K8" i="10"/>
  <c r="K7" i="10" s="1"/>
  <c r="L5" i="10"/>
  <c r="I5" i="10" s="1"/>
  <c r="AZ20" i="10" s="1"/>
  <c r="BC20" i="10" s="1"/>
  <c r="J5" i="10"/>
  <c r="AT17" i="10" s="1"/>
  <c r="K8" i="9"/>
  <c r="L5" i="9"/>
  <c r="I5" i="9" s="1"/>
  <c r="J5" i="9"/>
  <c r="AT12" i="9" s="1"/>
  <c r="K8" i="8"/>
  <c r="K7" i="8" s="1"/>
  <c r="L5" i="8"/>
  <c r="J5" i="8"/>
  <c r="I5" i="8"/>
  <c r="AZ30" i="8" s="1"/>
  <c r="K8" i="7"/>
  <c r="K7" i="7" s="1"/>
  <c r="L5" i="7"/>
  <c r="I5" i="7" s="1"/>
  <c r="AZ20" i="7" s="1"/>
  <c r="J5" i="7"/>
  <c r="AT15" i="7" s="1"/>
  <c r="K8" i="6"/>
  <c r="L5" i="6"/>
  <c r="I5" i="6" s="1"/>
  <c r="AZ37" i="6" s="1"/>
  <c r="J5" i="6"/>
  <c r="K8" i="5"/>
  <c r="K7" i="5"/>
  <c r="K10" i="5" s="1"/>
  <c r="L5" i="5"/>
  <c r="J5" i="5"/>
  <c r="I5" i="5"/>
  <c r="AZ31" i="5" s="1"/>
  <c r="K8" i="4"/>
  <c r="K7" i="4" s="1"/>
  <c r="K21" i="4" s="1"/>
  <c r="L5" i="4"/>
  <c r="I5" i="4" s="1"/>
  <c r="AZ31" i="4" s="1"/>
  <c r="J5" i="4"/>
  <c r="AT33" i="4" s="1"/>
  <c r="AZ11" i="13" l="1"/>
  <c r="AZ22" i="13"/>
  <c r="BC22" i="13" s="1"/>
  <c r="AT36" i="13"/>
  <c r="K38" i="13"/>
  <c r="K19" i="13"/>
  <c r="K14" i="13"/>
  <c r="K16" i="13"/>
  <c r="K17" i="13"/>
  <c r="K18" i="13"/>
  <c r="AZ23" i="12"/>
  <c r="AT14" i="14"/>
  <c r="AZ24" i="12"/>
  <c r="K23" i="13"/>
  <c r="AZ14" i="14"/>
  <c r="BC14" i="14" s="1"/>
  <c r="AZ22" i="14"/>
  <c r="BC22" i="14" s="1"/>
  <c r="AZ36" i="10"/>
  <c r="BC36" i="10" s="1"/>
  <c r="AT35" i="13"/>
  <c r="AT23" i="14"/>
  <c r="K36" i="13"/>
  <c r="AZ23" i="14"/>
  <c r="AT32" i="14"/>
  <c r="AZ32" i="14"/>
  <c r="BC32" i="14" s="1"/>
  <c r="AT12" i="14"/>
  <c r="AT33" i="14"/>
  <c r="AZ12" i="14"/>
  <c r="BC12" i="14" s="1"/>
  <c r="AT35" i="14"/>
  <c r="AZ13" i="14"/>
  <c r="BC13" i="14" s="1"/>
  <c r="AZ35" i="14"/>
  <c r="BC35" i="14" s="1"/>
  <c r="AT16" i="14"/>
  <c r="AT25" i="14"/>
  <c r="AZ36" i="14"/>
  <c r="BC36" i="14" s="1"/>
  <c r="AT18" i="14"/>
  <c r="AZ27" i="14"/>
  <c r="L8" i="14"/>
  <c r="AZ18" i="14"/>
  <c r="BC18" i="14" s="1"/>
  <c r="AT28" i="14"/>
  <c r="AT37" i="14"/>
  <c r="AT10" i="14"/>
  <c r="AZ19" i="14"/>
  <c r="BC19" i="14" s="1"/>
  <c r="AT30" i="14"/>
  <c r="AZ37" i="14"/>
  <c r="BC37" i="14" s="1"/>
  <c r="AT15" i="14"/>
  <c r="AZ17" i="14"/>
  <c r="BC17" i="14" s="1"/>
  <c r="AT27" i="14"/>
  <c r="AZ11" i="14"/>
  <c r="BC11" i="14" s="1"/>
  <c r="AT20" i="14"/>
  <c r="AT38" i="14"/>
  <c r="AT23" i="13"/>
  <c r="AT24" i="13"/>
  <c r="K25" i="13"/>
  <c r="K13" i="13"/>
  <c r="K26" i="13"/>
  <c r="AT13" i="13"/>
  <c r="K27" i="13"/>
  <c r="AT19" i="13"/>
  <c r="AT27" i="13"/>
  <c r="AT20" i="13"/>
  <c r="AT28" i="13"/>
  <c r="AT9" i="13"/>
  <c r="K21" i="13"/>
  <c r="AT29" i="13"/>
  <c r="AT10" i="13"/>
  <c r="AT31" i="13"/>
  <c r="AT11" i="13"/>
  <c r="AT22" i="13"/>
  <c r="AT18" i="12"/>
  <c r="AT25" i="12"/>
  <c r="AZ18" i="12"/>
  <c r="BC18" i="12" s="1"/>
  <c r="AZ25" i="12"/>
  <c r="BC25" i="12" s="1"/>
  <c r="AT38" i="12"/>
  <c r="AT27" i="12"/>
  <c r="AT10" i="12"/>
  <c r="AT28" i="12"/>
  <c r="AT12" i="12"/>
  <c r="AT29" i="12"/>
  <c r="AZ22" i="12"/>
  <c r="BC22" i="12" s="1"/>
  <c r="AT31" i="12"/>
  <c r="AT34" i="12"/>
  <c r="AT16" i="12"/>
  <c r="AT24" i="12"/>
  <c r="AT35" i="12"/>
  <c r="AT17" i="12"/>
  <c r="AT36" i="12"/>
  <c r="AT19" i="12"/>
  <c r="AT26" i="12"/>
  <c r="AZ19" i="12"/>
  <c r="BC19" i="12" s="1"/>
  <c r="AT20" i="12"/>
  <c r="AZ20" i="12"/>
  <c r="BC20" i="12" s="1"/>
  <c r="AZ12" i="12"/>
  <c r="BC12" i="12" s="1"/>
  <c r="AT22" i="12"/>
  <c r="AT30" i="12"/>
  <c r="AT14" i="12"/>
  <c r="AT15" i="12"/>
  <c r="AT23" i="12"/>
  <c r="AZ31" i="12"/>
  <c r="BC31" i="12" s="1"/>
  <c r="AT18" i="11"/>
  <c r="AT35" i="11"/>
  <c r="AT19" i="11"/>
  <c r="AT36" i="11"/>
  <c r="AT38" i="11"/>
  <c r="AT22" i="11"/>
  <c r="AT20" i="11"/>
  <c r="AT23" i="11"/>
  <c r="AT26" i="11"/>
  <c r="AT10" i="11"/>
  <c r="AT27" i="11"/>
  <c r="AT12" i="11"/>
  <c r="AT28" i="11"/>
  <c r="AT14" i="11"/>
  <c r="AT29" i="11"/>
  <c r="AT15" i="11"/>
  <c r="AT30" i="11"/>
  <c r="AT16" i="11"/>
  <c r="AT32" i="11"/>
  <c r="AT17" i="11"/>
  <c r="AT33" i="11"/>
  <c r="AZ13" i="10"/>
  <c r="BC13" i="10" s="1"/>
  <c r="AT21" i="10"/>
  <c r="AZ32" i="9"/>
  <c r="BC32" i="9" s="1"/>
  <c r="AZ29" i="9"/>
  <c r="BC29" i="9" s="1"/>
  <c r="AT13" i="9"/>
  <c r="AT16" i="9"/>
  <c r="L8" i="9"/>
  <c r="L7" i="9" s="1"/>
  <c r="AT11" i="9"/>
  <c r="L8" i="8"/>
  <c r="M8" i="8" s="1"/>
  <c r="AZ22" i="7"/>
  <c r="BC22" i="7" s="1"/>
  <c r="AZ23" i="7"/>
  <c r="BC23" i="7" s="1"/>
  <c r="AZ18" i="7"/>
  <c r="BC18" i="7" s="1"/>
  <c r="AZ11" i="6"/>
  <c r="BC11" i="6" s="1"/>
  <c r="AZ18" i="6"/>
  <c r="AZ27" i="6"/>
  <c r="BC27" i="6" s="1"/>
  <c r="K13" i="4"/>
  <c r="K15" i="4"/>
  <c r="AT23" i="4"/>
  <c r="AT24" i="4"/>
  <c r="AT12" i="4"/>
  <c r="AT34" i="4"/>
  <c r="AT35" i="4"/>
  <c r="AT13" i="4"/>
  <c r="AT37" i="4"/>
  <c r="AT14" i="4"/>
  <c r="AT38" i="4"/>
  <c r="AT15" i="4"/>
  <c r="AT16" i="4"/>
  <c r="AT22" i="4"/>
  <c r="AT25" i="4"/>
  <c r="AT26" i="4"/>
  <c r="AZ22" i="4"/>
  <c r="BC22" i="4" s="1"/>
  <c r="AZ28" i="4"/>
  <c r="BC28" i="4" s="1"/>
  <c r="AT18" i="4"/>
  <c r="AT31" i="4"/>
  <c r="K32" i="4"/>
  <c r="AT32" i="4"/>
  <c r="AT19" i="4"/>
  <c r="AT20" i="4"/>
  <c r="AT10" i="4"/>
  <c r="AT21" i="4"/>
  <c r="M8" i="14"/>
  <c r="L7" i="14"/>
  <c r="BC27" i="14"/>
  <c r="BC30" i="14"/>
  <c r="BC23" i="14"/>
  <c r="AZ25" i="14"/>
  <c r="AZ20" i="14"/>
  <c r="AZ34" i="14"/>
  <c r="AZ15" i="14"/>
  <c r="AZ29" i="14"/>
  <c r="AZ24" i="14"/>
  <c r="AZ38" i="14"/>
  <c r="AZ31" i="14"/>
  <c r="AZ26" i="14"/>
  <c r="AZ33" i="14"/>
  <c r="AZ28" i="14"/>
  <c r="AZ21" i="14"/>
  <c r="AZ16" i="14"/>
  <c r="AZ10" i="14"/>
  <c r="AZ9" i="14"/>
  <c r="AT19" i="14"/>
  <c r="AT22" i="14"/>
  <c r="AT17" i="14"/>
  <c r="AT36" i="14"/>
  <c r="AT31" i="14"/>
  <c r="AT26" i="14"/>
  <c r="AT21" i="14"/>
  <c r="AT13" i="14"/>
  <c r="AT9" i="14"/>
  <c r="AT11" i="14"/>
  <c r="AT29" i="14"/>
  <c r="AT34" i="14"/>
  <c r="BC11" i="13"/>
  <c r="AZ18" i="13"/>
  <c r="AZ36" i="13"/>
  <c r="AZ35" i="13"/>
  <c r="AZ24" i="13"/>
  <c r="AZ23" i="13"/>
  <c r="AZ17" i="13"/>
  <c r="AZ19" i="13"/>
  <c r="AZ12" i="13"/>
  <c r="AZ9" i="13"/>
  <c r="AZ38" i="13"/>
  <c r="AZ34" i="13"/>
  <c r="AZ21" i="13"/>
  <c r="AZ29" i="13"/>
  <c r="AZ25" i="13"/>
  <c r="AZ20" i="13"/>
  <c r="AZ15" i="13"/>
  <c r="AZ33" i="13"/>
  <c r="AZ13" i="13"/>
  <c r="AZ37" i="13"/>
  <c r="AZ32" i="13"/>
  <c r="AZ28" i="13"/>
  <c r="AZ26" i="13"/>
  <c r="AZ30" i="13"/>
  <c r="AZ10" i="13"/>
  <c r="AZ27" i="13"/>
  <c r="AZ14" i="13"/>
  <c r="AZ31" i="13"/>
  <c r="K30" i="13"/>
  <c r="K29" i="13"/>
  <c r="K11" i="13"/>
  <c r="K9" i="13"/>
  <c r="K34" i="13"/>
  <c r="K20" i="13"/>
  <c r="K10" i="13"/>
  <c r="K37" i="13"/>
  <c r="K33" i="13"/>
  <c r="K28" i="13"/>
  <c r="K24" i="13"/>
  <c r="K15" i="13"/>
  <c r="K32" i="13"/>
  <c r="K12" i="13"/>
  <c r="K31" i="13"/>
  <c r="L8" i="13"/>
  <c r="AZ16" i="13"/>
  <c r="K35" i="13"/>
  <c r="AT14" i="13"/>
  <c r="AT12" i="13"/>
  <c r="AT15" i="13"/>
  <c r="AT37" i="13"/>
  <c r="AT17" i="13"/>
  <c r="AT16" i="13"/>
  <c r="AT30" i="13"/>
  <c r="AT21" i="13"/>
  <c r="AT25" i="13"/>
  <c r="AT34" i="13"/>
  <c r="AT26" i="13"/>
  <c r="AT18" i="13"/>
  <c r="BC37" i="12"/>
  <c r="BC24" i="12"/>
  <c r="BC23" i="12"/>
  <c r="BC15" i="12"/>
  <c r="AZ35" i="12"/>
  <c r="AZ38" i="12"/>
  <c r="AZ14" i="12"/>
  <c r="AZ10" i="12"/>
  <c r="AZ32" i="12"/>
  <c r="AZ26" i="12"/>
  <c r="AZ33" i="12"/>
  <c r="AZ11" i="12"/>
  <c r="AZ13" i="12"/>
  <c r="AZ9" i="12"/>
  <c r="AZ28" i="12"/>
  <c r="AZ16" i="12"/>
  <c r="AZ30" i="12"/>
  <c r="AZ17" i="12"/>
  <c r="AZ34" i="12"/>
  <c r="AZ29" i="12"/>
  <c r="AZ27" i="12"/>
  <c r="AZ21" i="12"/>
  <c r="L8" i="12"/>
  <c r="AT33" i="12"/>
  <c r="AT32" i="12"/>
  <c r="AT21" i="12"/>
  <c r="AT13" i="12"/>
  <c r="AT11" i="12"/>
  <c r="AT9" i="12"/>
  <c r="I5" i="11"/>
  <c r="L8" i="11"/>
  <c r="AT25" i="11"/>
  <c r="AT31" i="11"/>
  <c r="AT21" i="11"/>
  <c r="AT13" i="11"/>
  <c r="AT11" i="11"/>
  <c r="AT9" i="11"/>
  <c r="AT24" i="11"/>
  <c r="AT37" i="11"/>
  <c r="AT30" i="10"/>
  <c r="AZ38" i="10"/>
  <c r="AZ35" i="10"/>
  <c r="AZ30" i="10"/>
  <c r="AZ27" i="10"/>
  <c r="AZ22" i="10"/>
  <c r="AZ19" i="10"/>
  <c r="AZ17" i="10"/>
  <c r="AZ33" i="10"/>
  <c r="AZ24" i="10"/>
  <c r="AZ11" i="10"/>
  <c r="AZ32" i="10"/>
  <c r="AZ26" i="10"/>
  <c r="AZ25" i="10"/>
  <c r="AZ10" i="10"/>
  <c r="AZ16" i="10"/>
  <c r="AZ37" i="10"/>
  <c r="AZ18" i="10"/>
  <c r="AZ31" i="10"/>
  <c r="AZ29" i="10"/>
  <c r="AZ23" i="10"/>
  <c r="AZ21" i="10"/>
  <c r="AZ15" i="10"/>
  <c r="AZ12" i="10"/>
  <c r="AZ28" i="10"/>
  <c r="L8" i="10"/>
  <c r="AT24" i="10"/>
  <c r="AT32" i="10"/>
  <c r="AT16" i="10"/>
  <c r="AT37" i="10"/>
  <c r="AT34" i="10"/>
  <c r="AT29" i="10"/>
  <c r="AT26" i="10"/>
  <c r="AT14" i="10"/>
  <c r="AT12" i="10"/>
  <c r="AT10" i="10"/>
  <c r="AT20" i="10"/>
  <c r="AT18" i="10"/>
  <c r="AT13" i="10"/>
  <c r="AT33" i="10"/>
  <c r="AT28" i="10"/>
  <c r="AT27" i="10"/>
  <c r="AT22" i="10"/>
  <c r="AT19" i="10"/>
  <c r="AT38" i="10"/>
  <c r="AT11" i="10"/>
  <c r="AT23" i="10"/>
  <c r="AT35" i="10"/>
  <c r="AT36" i="10"/>
  <c r="AT25" i="10"/>
  <c r="AT31" i="10"/>
  <c r="AT9" i="10"/>
  <c r="AT15" i="10"/>
  <c r="AZ9" i="10"/>
  <c r="AZ14" i="10"/>
  <c r="AZ34" i="10"/>
  <c r="AZ38" i="9"/>
  <c r="AZ37" i="9"/>
  <c r="AZ27" i="9"/>
  <c r="AZ22" i="9"/>
  <c r="AZ36" i="9"/>
  <c r="AZ30" i="9"/>
  <c r="AZ33" i="9"/>
  <c r="AZ12" i="9"/>
  <c r="AZ26" i="9"/>
  <c r="AZ15" i="9"/>
  <c r="AZ10" i="9"/>
  <c r="AZ13" i="9"/>
  <c r="AZ25" i="9"/>
  <c r="AZ24" i="9"/>
  <c r="AZ20" i="9"/>
  <c r="AZ28" i="9"/>
  <c r="AZ19" i="9"/>
  <c r="AZ34" i="9"/>
  <c r="AZ21" i="9"/>
  <c r="AZ23" i="9"/>
  <c r="AZ14" i="9"/>
  <c r="AZ35" i="9"/>
  <c r="AZ31" i="9"/>
  <c r="AZ18" i="9"/>
  <c r="AZ9" i="9"/>
  <c r="AZ17" i="9"/>
  <c r="AZ11" i="9"/>
  <c r="AZ16" i="9"/>
  <c r="AT20" i="9"/>
  <c r="AT31" i="9"/>
  <c r="AT21" i="9"/>
  <c r="AT22" i="9"/>
  <c r="AT25" i="9"/>
  <c r="AT10" i="9"/>
  <c r="AT27" i="9"/>
  <c r="AT26" i="9"/>
  <c r="AT30" i="9"/>
  <c r="AT15" i="9"/>
  <c r="K7" i="9"/>
  <c r="AT24" i="9"/>
  <c r="AT19" i="9"/>
  <c r="AT33" i="9"/>
  <c r="AT35" i="9"/>
  <c r="AT32" i="9"/>
  <c r="AT23" i="9"/>
  <c r="AT14" i="9"/>
  <c r="AT29" i="9"/>
  <c r="AT37" i="9"/>
  <c r="AT36" i="9"/>
  <c r="AT38" i="9"/>
  <c r="AT34" i="9"/>
  <c r="AT9" i="9"/>
  <c r="AT17" i="9"/>
  <c r="AT18" i="9"/>
  <c r="AT28" i="9"/>
  <c r="N8" i="8"/>
  <c r="M7" i="8"/>
  <c r="BC30" i="8"/>
  <c r="AT20" i="8"/>
  <c r="AT15" i="8"/>
  <c r="AT37" i="8"/>
  <c r="AT33" i="8"/>
  <c r="AT32" i="8"/>
  <c r="AT34" i="8"/>
  <c r="AT17" i="8"/>
  <c r="AT16" i="8"/>
  <c r="AT19" i="8"/>
  <c r="AT18" i="8"/>
  <c r="AT13" i="8"/>
  <c r="AT11" i="8"/>
  <c r="AT35" i="8"/>
  <c r="AT25" i="8"/>
  <c r="AT38" i="8"/>
  <c r="AT9" i="8"/>
  <c r="AT30" i="8"/>
  <c r="AT14" i="8"/>
  <c r="AT24" i="8"/>
  <c r="AT10" i="8"/>
  <c r="AZ22" i="8"/>
  <c r="AT27" i="8"/>
  <c r="L7" i="8"/>
  <c r="AZ12" i="8"/>
  <c r="AZ17" i="8"/>
  <c r="AT23" i="8"/>
  <c r="AT28" i="8"/>
  <c r="AZ20" i="8"/>
  <c r="AT29" i="8"/>
  <c r="AZ27" i="8"/>
  <c r="AZ38" i="8"/>
  <c r="AZ37" i="8"/>
  <c r="AZ23" i="8"/>
  <c r="AZ18" i="8"/>
  <c r="AZ35" i="8"/>
  <c r="AZ24" i="8"/>
  <c r="AZ34" i="8"/>
  <c r="AZ29" i="8"/>
  <c r="AZ21" i="8"/>
  <c r="AZ9" i="8"/>
  <c r="AZ14" i="8"/>
  <c r="AZ15" i="8"/>
  <c r="AZ32" i="8"/>
  <c r="AZ26" i="8"/>
  <c r="AZ36" i="8"/>
  <c r="AZ13" i="8"/>
  <c r="AZ31" i="8"/>
  <c r="AZ25" i="8"/>
  <c r="AZ11" i="8"/>
  <c r="AZ19" i="8"/>
  <c r="AT22" i="8"/>
  <c r="AT26" i="8"/>
  <c r="AT36" i="8"/>
  <c r="AT12" i="8"/>
  <c r="AZ16" i="8"/>
  <c r="AZ33" i="8"/>
  <c r="AZ10" i="8"/>
  <c r="AT21" i="8"/>
  <c r="AZ28" i="8"/>
  <c r="AT31" i="8"/>
  <c r="BC20" i="7"/>
  <c r="AT16" i="7"/>
  <c r="AT29" i="7"/>
  <c r="AT23" i="7"/>
  <c r="AT22" i="7"/>
  <c r="AT36" i="7"/>
  <c r="AT27" i="7"/>
  <c r="AT26" i="7"/>
  <c r="AT34" i="7"/>
  <c r="AT25" i="7"/>
  <c r="AT24" i="7"/>
  <c r="AT31" i="7"/>
  <c r="AT11" i="7"/>
  <c r="AT33" i="7"/>
  <c r="AT30" i="7"/>
  <c r="AT12" i="7"/>
  <c r="AT18" i="7"/>
  <c r="AT38" i="7"/>
  <c r="AT19" i="7"/>
  <c r="AT14" i="7"/>
  <c r="AT28" i="7"/>
  <c r="AZ15" i="7"/>
  <c r="AZ25" i="7"/>
  <c r="AT32" i="7"/>
  <c r="AT20" i="7"/>
  <c r="AZ27" i="7"/>
  <c r="AZ32" i="7"/>
  <c r="L8" i="7"/>
  <c r="AT17" i="7"/>
  <c r="AT37" i="7"/>
  <c r="AZ38" i="7"/>
  <c r="AZ35" i="7"/>
  <c r="AZ30" i="7"/>
  <c r="AZ19" i="7"/>
  <c r="AZ14" i="7"/>
  <c r="AZ12" i="7"/>
  <c r="AZ31" i="7"/>
  <c r="AZ10" i="7"/>
  <c r="AZ28" i="7"/>
  <c r="AZ33" i="7"/>
  <c r="AZ36" i="7"/>
  <c r="AZ11" i="7"/>
  <c r="AZ9" i="7"/>
  <c r="AZ17" i="7"/>
  <c r="AZ13" i="7"/>
  <c r="AZ34" i="7"/>
  <c r="AZ16" i="7"/>
  <c r="AT9" i="7"/>
  <c r="AZ24" i="7"/>
  <c r="AT35" i="7"/>
  <c r="AZ37" i="7"/>
  <c r="AT13" i="7"/>
  <c r="AZ26" i="7"/>
  <c r="AT21" i="7"/>
  <c r="AZ29" i="7"/>
  <c r="AZ21" i="7"/>
  <c r="AT10" i="7"/>
  <c r="L8" i="6"/>
  <c r="K7" i="6"/>
  <c r="BC18" i="6"/>
  <c r="AT16" i="6"/>
  <c r="AT25" i="6"/>
  <c r="AT26" i="6"/>
  <c r="AT17" i="6"/>
  <c r="AT33" i="6"/>
  <c r="AT37" i="6"/>
  <c r="AT35" i="6"/>
  <c r="AT38" i="6"/>
  <c r="AT36" i="6"/>
  <c r="AT34" i="6"/>
  <c r="AT32" i="6"/>
  <c r="AT31" i="6"/>
  <c r="AT30" i="6"/>
  <c r="AT29" i="6"/>
  <c r="AT24" i="6"/>
  <c r="AT11" i="6"/>
  <c r="AT20" i="6"/>
  <c r="AT27" i="6"/>
  <c r="AT22" i="6"/>
  <c r="AT13" i="6"/>
  <c r="AT21" i="6"/>
  <c r="AT18" i="6"/>
  <c r="AT15" i="6"/>
  <c r="AT10" i="6"/>
  <c r="AT14" i="6"/>
  <c r="AT19" i="6"/>
  <c r="AT28" i="6"/>
  <c r="AT9" i="6"/>
  <c r="AT12" i="6"/>
  <c r="BC37" i="6"/>
  <c r="AT23" i="6"/>
  <c r="AZ20" i="6"/>
  <c r="AZ26" i="6"/>
  <c r="AZ30" i="6"/>
  <c r="AZ33" i="6"/>
  <c r="AZ23" i="6"/>
  <c r="AZ36" i="6"/>
  <c r="AZ16" i="6"/>
  <c r="AZ25" i="6"/>
  <c r="AZ13" i="6"/>
  <c r="AZ9" i="6"/>
  <c r="AZ22" i="6"/>
  <c r="AZ19" i="6"/>
  <c r="AZ14" i="6"/>
  <c r="AZ12" i="6"/>
  <c r="AZ10" i="6"/>
  <c r="AZ32" i="6"/>
  <c r="AZ31" i="6"/>
  <c r="AZ28" i="6"/>
  <c r="AZ38" i="6"/>
  <c r="AZ35" i="6"/>
  <c r="AZ24" i="6"/>
  <c r="AZ21" i="6"/>
  <c r="AZ29" i="6"/>
  <c r="AZ17" i="6"/>
  <c r="AZ34" i="6"/>
  <c r="AZ15" i="6"/>
  <c r="BC31" i="5"/>
  <c r="AT33" i="5"/>
  <c r="AT32" i="5"/>
  <c r="AT21" i="5"/>
  <c r="AT20" i="5"/>
  <c r="AT26" i="5"/>
  <c r="AT11" i="5"/>
  <c r="AT36" i="5"/>
  <c r="AT34" i="5"/>
  <c r="AT27" i="5"/>
  <c r="AT28" i="5"/>
  <c r="AT24" i="5"/>
  <c r="AT19" i="5"/>
  <c r="AT12" i="5"/>
  <c r="AT29" i="5"/>
  <c r="AT25" i="5"/>
  <c r="AT38" i="5"/>
  <c r="AT16" i="5"/>
  <c r="K19" i="5"/>
  <c r="AZ37" i="5"/>
  <c r="AZ19" i="5"/>
  <c r="K16" i="5"/>
  <c r="K25" i="5"/>
  <c r="K9" i="5"/>
  <c r="K31" i="5"/>
  <c r="AT31" i="5"/>
  <c r="AT10" i="5"/>
  <c r="K14" i="5"/>
  <c r="K21" i="5"/>
  <c r="AT22" i="5"/>
  <c r="AT18" i="5"/>
  <c r="K22" i="5"/>
  <c r="AT23" i="5"/>
  <c r="AT35" i="5"/>
  <c r="L8" i="5"/>
  <c r="AT37" i="5"/>
  <c r="AZ36" i="5"/>
  <c r="AZ35" i="5"/>
  <c r="AZ13" i="5"/>
  <c r="AZ11" i="5"/>
  <c r="AZ38" i="5"/>
  <c r="AZ27" i="5"/>
  <c r="AZ24" i="5"/>
  <c r="AZ14" i="5"/>
  <c r="AZ17" i="5"/>
  <c r="AZ21" i="5"/>
  <c r="AZ16" i="5"/>
  <c r="AZ15" i="5"/>
  <c r="AZ28" i="5"/>
  <c r="AZ18" i="5"/>
  <c r="AZ33" i="5"/>
  <c r="AZ29" i="5"/>
  <c r="AZ25" i="5"/>
  <c r="AZ20" i="5"/>
  <c r="AZ30" i="5"/>
  <c r="AZ26" i="5"/>
  <c r="AZ9" i="5"/>
  <c r="AT13" i="5"/>
  <c r="K13" i="5"/>
  <c r="K36" i="5"/>
  <c r="K29" i="5"/>
  <c r="K23" i="5"/>
  <c r="K12" i="5"/>
  <c r="K30" i="5"/>
  <c r="K38" i="5"/>
  <c r="K24" i="5"/>
  <c r="K37" i="5"/>
  <c r="K27" i="5"/>
  <c r="K35" i="5"/>
  <c r="K32" i="5"/>
  <c r="K11" i="5"/>
  <c r="K28" i="5"/>
  <c r="K15" i="5"/>
  <c r="AT30" i="5"/>
  <c r="K20" i="5"/>
  <c r="K26" i="5"/>
  <c r="AT17" i="5"/>
  <c r="AT14" i="5"/>
  <c r="K17" i="5"/>
  <c r="AT9" i="5"/>
  <c r="AZ10" i="5"/>
  <c r="AZ32" i="5"/>
  <c r="K34" i="5"/>
  <c r="AZ34" i="5"/>
  <c r="AZ12" i="5"/>
  <c r="AT15" i="5"/>
  <c r="K18" i="5"/>
  <c r="AZ23" i="5"/>
  <c r="AZ22" i="5"/>
  <c r="K33" i="5"/>
  <c r="BC31" i="4"/>
  <c r="K38" i="4"/>
  <c r="K33" i="4"/>
  <c r="K25" i="4"/>
  <c r="K24" i="4"/>
  <c r="K27" i="4"/>
  <c r="K26" i="4"/>
  <c r="K23" i="4"/>
  <c r="K9" i="4"/>
  <c r="K18" i="4"/>
  <c r="K34" i="4"/>
  <c r="K36" i="4"/>
  <c r="K16" i="4"/>
  <c r="K14" i="4"/>
  <c r="K29" i="4"/>
  <c r="K30" i="4"/>
  <c r="K17" i="4"/>
  <c r="K22" i="4"/>
  <c r="K31" i="4"/>
  <c r="K28" i="4"/>
  <c r="K19" i="4"/>
  <c r="K12" i="4"/>
  <c r="K11" i="4"/>
  <c r="K10" i="4"/>
  <c r="K20" i="4"/>
  <c r="K35" i="4"/>
  <c r="AZ20" i="4"/>
  <c r="AZ15" i="4"/>
  <c r="AZ34" i="4"/>
  <c r="AZ17" i="4"/>
  <c r="AZ16" i="4"/>
  <c r="AZ13" i="4"/>
  <c r="AZ35" i="4"/>
  <c r="AZ19" i="4"/>
  <c r="AZ18" i="4"/>
  <c r="AZ36" i="4"/>
  <c r="AZ25" i="4"/>
  <c r="AZ14" i="4"/>
  <c r="AZ10" i="4"/>
  <c r="AZ38" i="4"/>
  <c r="AZ27" i="4"/>
  <c r="AZ29" i="4"/>
  <c r="AZ12" i="4"/>
  <c r="AZ11" i="4"/>
  <c r="AZ9" i="4"/>
  <c r="AZ23" i="4"/>
  <c r="AZ37" i="4"/>
  <c r="AZ21" i="4"/>
  <c r="AZ26" i="4"/>
  <c r="AZ24" i="4"/>
  <c r="AZ32" i="4"/>
  <c r="AZ33" i="4"/>
  <c r="L8" i="4"/>
  <c r="AZ30" i="4"/>
  <c r="K37" i="4"/>
  <c r="AT36" i="4"/>
  <c r="AT17" i="4"/>
  <c r="AT9" i="4"/>
  <c r="AT11" i="4"/>
  <c r="AT29" i="4"/>
  <c r="AT30" i="4"/>
  <c r="AT27" i="4"/>
  <c r="AT28" i="4"/>
  <c r="J5" i="2"/>
  <c r="AT9" i="2" s="1"/>
  <c r="M8" i="9" l="1"/>
  <c r="N8" i="9" s="1"/>
  <c r="BC15" i="14"/>
  <c r="N8" i="14"/>
  <c r="M7" i="14"/>
  <c r="BC9" i="14"/>
  <c r="BC34" i="14"/>
  <c r="BC16" i="14"/>
  <c r="BC25" i="14"/>
  <c r="BC21" i="14"/>
  <c r="BC31" i="14"/>
  <c r="BC24" i="14"/>
  <c r="BC29" i="14"/>
  <c r="BC10" i="14"/>
  <c r="BC20" i="14"/>
  <c r="BC28" i="14"/>
  <c r="BC33" i="14"/>
  <c r="BC26" i="14"/>
  <c r="BC38" i="14"/>
  <c r="BC35" i="13"/>
  <c r="BC25" i="13"/>
  <c r="BC34" i="13"/>
  <c r="BC18" i="13"/>
  <c r="BC14" i="13"/>
  <c r="BC16" i="13"/>
  <c r="BC26" i="13"/>
  <c r="BC12" i="13"/>
  <c r="L7" i="13"/>
  <c r="M8" i="13"/>
  <c r="BC31" i="13"/>
  <c r="BC10" i="13"/>
  <c r="BC33" i="13"/>
  <c r="BC23" i="13"/>
  <c r="BC20" i="13"/>
  <c r="BC36" i="13"/>
  <c r="BC29" i="13"/>
  <c r="BC21" i="13"/>
  <c r="BC38" i="13"/>
  <c r="BC28" i="13"/>
  <c r="BC9" i="13"/>
  <c r="BC27" i="13"/>
  <c r="BC32" i="13"/>
  <c r="BC37" i="13"/>
  <c r="BC19" i="13"/>
  <c r="BC30" i="13"/>
  <c r="BC13" i="13"/>
  <c r="BC17" i="13"/>
  <c r="BC15" i="13"/>
  <c r="BC24" i="13"/>
  <c r="BC10" i="12"/>
  <c r="BC14" i="12"/>
  <c r="BC30" i="12"/>
  <c r="BC35" i="12"/>
  <c r="BC16" i="12"/>
  <c r="M8" i="12"/>
  <c r="L7" i="12"/>
  <c r="BC28" i="12"/>
  <c r="BC9" i="12"/>
  <c r="BC21" i="12"/>
  <c r="BC13" i="12"/>
  <c r="BC33" i="12"/>
  <c r="BC26" i="12"/>
  <c r="BC29" i="12"/>
  <c r="BC34" i="12"/>
  <c r="BC17" i="12"/>
  <c r="BC38" i="12"/>
  <c r="BC11" i="12"/>
  <c r="BC27" i="12"/>
  <c r="BC32" i="12"/>
  <c r="AZ38" i="11"/>
  <c r="AZ37" i="11"/>
  <c r="AZ26" i="11"/>
  <c r="AZ25" i="11"/>
  <c r="AZ24" i="11"/>
  <c r="AZ14" i="11"/>
  <c r="AZ32" i="11"/>
  <c r="AZ10" i="11"/>
  <c r="AZ35" i="11"/>
  <c r="AZ29" i="11"/>
  <c r="AZ16" i="11"/>
  <c r="AZ15" i="11"/>
  <c r="AZ34" i="11"/>
  <c r="AZ33" i="11"/>
  <c r="AZ28" i="11"/>
  <c r="AZ20" i="11"/>
  <c r="AZ12" i="11"/>
  <c r="AZ31" i="11"/>
  <c r="AZ27" i="11"/>
  <c r="AZ19" i="11"/>
  <c r="AZ13" i="11"/>
  <c r="AZ9" i="11"/>
  <c r="AZ21" i="11"/>
  <c r="AZ36" i="11"/>
  <c r="AZ23" i="11"/>
  <c r="AZ18" i="11"/>
  <c r="AZ11" i="11"/>
  <c r="AZ30" i="11"/>
  <c r="AZ22" i="11"/>
  <c r="AZ17" i="11"/>
  <c r="M8" i="11"/>
  <c r="L7" i="11"/>
  <c r="BC16" i="10"/>
  <c r="BC14" i="10"/>
  <c r="M8" i="10"/>
  <c r="L7" i="10"/>
  <c r="BC35" i="10"/>
  <c r="BC9" i="10"/>
  <c r="BC25" i="10"/>
  <c r="BC28" i="10"/>
  <c r="BC12" i="10"/>
  <c r="BC32" i="10"/>
  <c r="BC21" i="10"/>
  <c r="BC24" i="10"/>
  <c r="BC23" i="10"/>
  <c r="BC31" i="10"/>
  <c r="BC34" i="10"/>
  <c r="BC18" i="10"/>
  <c r="BC22" i="10"/>
  <c r="BC30" i="10"/>
  <c r="BC10" i="10"/>
  <c r="BC38" i="10"/>
  <c r="BC26" i="10"/>
  <c r="BC15" i="10"/>
  <c r="BC11" i="10"/>
  <c r="BC33" i="10"/>
  <c r="BC29" i="10"/>
  <c r="BC17" i="10"/>
  <c r="BC19" i="10"/>
  <c r="BC37" i="10"/>
  <c r="BC27" i="10"/>
  <c r="BC26" i="9"/>
  <c r="BC23" i="9"/>
  <c r="BC12" i="9"/>
  <c r="BC21" i="9"/>
  <c r="BC30" i="9"/>
  <c r="BC19" i="9"/>
  <c r="BC22" i="9"/>
  <c r="BC20" i="9"/>
  <c r="BC17" i="9"/>
  <c r="BC37" i="9"/>
  <c r="BC9" i="9"/>
  <c r="BC25" i="9"/>
  <c r="BC18" i="9"/>
  <c r="BC13" i="9"/>
  <c r="BC14" i="9"/>
  <c r="BC33" i="9"/>
  <c r="BC34" i="9"/>
  <c r="BC36" i="9"/>
  <c r="BC16" i="9"/>
  <c r="BC28" i="9"/>
  <c r="BC11" i="9"/>
  <c r="BC27" i="9"/>
  <c r="BC24" i="9"/>
  <c r="BC38" i="9"/>
  <c r="BC31" i="9"/>
  <c r="BC10" i="9"/>
  <c r="M7" i="9"/>
  <c r="BC35" i="9"/>
  <c r="BC15" i="9"/>
  <c r="BC26" i="8"/>
  <c r="BC37" i="8"/>
  <c r="BC32" i="8"/>
  <c r="BC38" i="8"/>
  <c r="BC15" i="8"/>
  <c r="BC14" i="8"/>
  <c r="BC9" i="8"/>
  <c r="BC20" i="8"/>
  <c r="BC21" i="8"/>
  <c r="BC19" i="8"/>
  <c r="BC29" i="8"/>
  <c r="BC11" i="8"/>
  <c r="BC34" i="8"/>
  <c r="BC17" i="8"/>
  <c r="BC25" i="8"/>
  <c r="BC24" i="8"/>
  <c r="BC12" i="8"/>
  <c r="BC28" i="8"/>
  <c r="BC31" i="8"/>
  <c r="BC35" i="8"/>
  <c r="BC13" i="8"/>
  <c r="BC18" i="8"/>
  <c r="BC33" i="8"/>
  <c r="BC16" i="8"/>
  <c r="BC27" i="8"/>
  <c r="BC10" i="8"/>
  <c r="BC36" i="8"/>
  <c r="BC23" i="8"/>
  <c r="BC22" i="8"/>
  <c r="O8" i="8"/>
  <c r="N7" i="8"/>
  <c r="BC29" i="7"/>
  <c r="BC24" i="7"/>
  <c r="BC10" i="7"/>
  <c r="BC15" i="7"/>
  <c r="M8" i="7"/>
  <c r="L7" i="7"/>
  <c r="BC16" i="7"/>
  <c r="BC13" i="7"/>
  <c r="BC38" i="7"/>
  <c r="BC11" i="7"/>
  <c r="BC36" i="7"/>
  <c r="BC21" i="7"/>
  <c r="BC37" i="7"/>
  <c r="BC33" i="7"/>
  <c r="BC31" i="7"/>
  <c r="BC12" i="7"/>
  <c r="BC14" i="7"/>
  <c r="BC32" i="7"/>
  <c r="BC34" i="7"/>
  <c r="BC19" i="7"/>
  <c r="BC30" i="7"/>
  <c r="BC27" i="7"/>
  <c r="BC26" i="7"/>
  <c r="BC17" i="7"/>
  <c r="BC35" i="7"/>
  <c r="BC9" i="7"/>
  <c r="BC28" i="7"/>
  <c r="BC25" i="7"/>
  <c r="BC21" i="6"/>
  <c r="BC13" i="6"/>
  <c r="BC28" i="6"/>
  <c r="BC36" i="6"/>
  <c r="BC31" i="6"/>
  <c r="BC32" i="6"/>
  <c r="BC33" i="6"/>
  <c r="BC10" i="6"/>
  <c r="BC30" i="6"/>
  <c r="BC15" i="6"/>
  <c r="BC12" i="6"/>
  <c r="BC26" i="6"/>
  <c r="BC34" i="6"/>
  <c r="BC14" i="6"/>
  <c r="BC20" i="6"/>
  <c r="BC17" i="6"/>
  <c r="BC19" i="6"/>
  <c r="M8" i="6"/>
  <c r="L7" i="6"/>
  <c r="BC24" i="6"/>
  <c r="BC35" i="6"/>
  <c r="BC25" i="6"/>
  <c r="BC38" i="6"/>
  <c r="BC16" i="6"/>
  <c r="BC23" i="6"/>
  <c r="BC29" i="6"/>
  <c r="BC22" i="6"/>
  <c r="BC9" i="6"/>
  <c r="BC18" i="5"/>
  <c r="BC37" i="5"/>
  <c r="BC12" i="5"/>
  <c r="BC16" i="5"/>
  <c r="M8" i="5"/>
  <c r="L7" i="5"/>
  <c r="BC9" i="5"/>
  <c r="BC10" i="5"/>
  <c r="BC24" i="5"/>
  <c r="BC33" i="5"/>
  <c r="BC13" i="5"/>
  <c r="BC23" i="5"/>
  <c r="BC35" i="5"/>
  <c r="BC28" i="5"/>
  <c r="BC36" i="5"/>
  <c r="BC15" i="5"/>
  <c r="BC34" i="5"/>
  <c r="BC21" i="5"/>
  <c r="BC17" i="5"/>
  <c r="BC32" i="5"/>
  <c r="BC26" i="5"/>
  <c r="BC14" i="5"/>
  <c r="BC30" i="5"/>
  <c r="BC20" i="5"/>
  <c r="BC27" i="5"/>
  <c r="BC25" i="5"/>
  <c r="BC38" i="5"/>
  <c r="BC22" i="5"/>
  <c r="BC29" i="5"/>
  <c r="BC11" i="5"/>
  <c r="BC19" i="5"/>
  <c r="BC29" i="4"/>
  <c r="BC33" i="4"/>
  <c r="BC38" i="4"/>
  <c r="BC15" i="4"/>
  <c r="BC32" i="4"/>
  <c r="BC10" i="4"/>
  <c r="BC20" i="4"/>
  <c r="BC26" i="4"/>
  <c r="BC25" i="4"/>
  <c r="BC36" i="4"/>
  <c r="BC35" i="4"/>
  <c r="BC12" i="4"/>
  <c r="BC16" i="4"/>
  <c r="BC30" i="4"/>
  <c r="BC17" i="4"/>
  <c r="M8" i="4"/>
  <c r="L7" i="4"/>
  <c r="BC27" i="4"/>
  <c r="BC34" i="4"/>
  <c r="BC24" i="4"/>
  <c r="BC14" i="4"/>
  <c r="BC21" i="4"/>
  <c r="BC37" i="4"/>
  <c r="BC18" i="4"/>
  <c r="BC23" i="4"/>
  <c r="BC19" i="4"/>
  <c r="BC9" i="4"/>
  <c r="BC11" i="4"/>
  <c r="BC13" i="4"/>
  <c r="AT32" i="2"/>
  <c r="AT20" i="2"/>
  <c r="AT31" i="2"/>
  <c r="AT19" i="2"/>
  <c r="AT30" i="2"/>
  <c r="AT18" i="2"/>
  <c r="AT29" i="2"/>
  <c r="AT17" i="2"/>
  <c r="AT28" i="2"/>
  <c r="AT16" i="2"/>
  <c r="AT27" i="2"/>
  <c r="AT15" i="2"/>
  <c r="AT38" i="2"/>
  <c r="AT26" i="2"/>
  <c r="AT14" i="2"/>
  <c r="AT37" i="2"/>
  <c r="AT25" i="2"/>
  <c r="AT13" i="2"/>
  <c r="AT36" i="2"/>
  <c r="AT24" i="2"/>
  <c r="AT12" i="2"/>
  <c r="AT35" i="2"/>
  <c r="AT23" i="2"/>
  <c r="AT11" i="2"/>
  <c r="AT34" i="2"/>
  <c r="AT22" i="2"/>
  <c r="AT10" i="2"/>
  <c r="AT33" i="2"/>
  <c r="AT21" i="2"/>
  <c r="L5" i="2"/>
  <c r="I5" i="2" s="1"/>
  <c r="K8" i="2"/>
  <c r="N7" i="14" l="1"/>
  <c r="O8" i="14"/>
  <c r="N8" i="13"/>
  <c r="M7" i="13"/>
  <c r="N8" i="12"/>
  <c r="M7" i="12"/>
  <c r="BC36" i="11"/>
  <c r="BC15" i="11"/>
  <c r="BC19" i="11"/>
  <c r="N8" i="11"/>
  <c r="M7" i="11"/>
  <c r="BC27" i="11"/>
  <c r="BC32" i="11"/>
  <c r="BC22" i="11"/>
  <c r="BC12" i="11"/>
  <c r="BC24" i="11"/>
  <c r="BC30" i="11"/>
  <c r="BC25" i="11"/>
  <c r="BC26" i="11"/>
  <c r="BC18" i="11"/>
  <c r="BC33" i="11"/>
  <c r="BC37" i="11"/>
  <c r="BC21" i="11"/>
  <c r="BC16" i="11"/>
  <c r="BC9" i="11"/>
  <c r="BC29" i="11"/>
  <c r="BC13" i="11"/>
  <c r="BC35" i="11"/>
  <c r="BC10" i="11"/>
  <c r="BC17" i="11"/>
  <c r="BC31" i="11"/>
  <c r="BC14" i="11"/>
  <c r="BC20" i="11"/>
  <c r="BC11" i="11"/>
  <c r="BC28" i="11"/>
  <c r="BC23" i="11"/>
  <c r="BC34" i="11"/>
  <c r="BC38" i="11"/>
  <c r="M7" i="10"/>
  <c r="N8" i="10"/>
  <c r="L37" i="10"/>
  <c r="L32" i="10"/>
  <c r="L29" i="10"/>
  <c r="L13" i="10"/>
  <c r="L11" i="10"/>
  <c r="L24" i="10"/>
  <c r="L16" i="10"/>
  <c r="L36" i="10"/>
  <c r="L31" i="10"/>
  <c r="L30" i="10"/>
  <c r="L18" i="10"/>
  <c r="L17" i="10"/>
  <c r="L14" i="10"/>
  <c r="L26" i="10"/>
  <c r="L19" i="10"/>
  <c r="L22" i="10"/>
  <c r="L27" i="10"/>
  <c r="L20" i="10"/>
  <c r="L15" i="10"/>
  <c r="L38" i="10"/>
  <c r="L10" i="10"/>
  <c r="L25" i="10"/>
  <c r="L12" i="10"/>
  <c r="L35" i="10"/>
  <c r="L33" i="10"/>
  <c r="L9" i="10"/>
  <c r="L28" i="10"/>
  <c r="L21" i="10"/>
  <c r="L34" i="10"/>
  <c r="L23" i="10"/>
  <c r="N7" i="9"/>
  <c r="O8" i="9"/>
  <c r="P8" i="8"/>
  <c r="O7" i="8"/>
  <c r="N8" i="7"/>
  <c r="M7" i="7"/>
  <c r="N8" i="6"/>
  <c r="M7" i="6"/>
  <c r="N8" i="5"/>
  <c r="M7" i="5"/>
  <c r="N8" i="4"/>
  <c r="M7" i="4"/>
  <c r="AZ9" i="2"/>
  <c r="BC9" i="2" s="1"/>
  <c r="AZ21" i="2"/>
  <c r="AZ33" i="2"/>
  <c r="AZ10" i="2"/>
  <c r="BC10" i="2" s="1"/>
  <c r="AZ22" i="2"/>
  <c r="AZ34" i="2"/>
  <c r="AZ11" i="2"/>
  <c r="AZ23" i="2"/>
  <c r="AZ35" i="2"/>
  <c r="AZ12" i="2"/>
  <c r="AZ24" i="2"/>
  <c r="AZ36" i="2"/>
  <c r="AZ13" i="2"/>
  <c r="AZ25" i="2"/>
  <c r="AZ37" i="2"/>
  <c r="AZ14" i="2"/>
  <c r="AZ26" i="2"/>
  <c r="AZ38" i="2"/>
  <c r="AZ15" i="2"/>
  <c r="AZ27" i="2"/>
  <c r="AZ16" i="2"/>
  <c r="AZ28" i="2"/>
  <c r="AZ17" i="2"/>
  <c r="AZ29" i="2"/>
  <c r="AZ18" i="2"/>
  <c r="AZ30" i="2"/>
  <c r="AZ19" i="2"/>
  <c r="AZ31" i="2"/>
  <c r="AZ20" i="2"/>
  <c r="AZ32" i="2"/>
  <c r="L8" i="2"/>
  <c r="K7" i="2"/>
  <c r="O7" i="14" l="1"/>
  <c r="P8" i="14"/>
  <c r="N7" i="13"/>
  <c r="O8" i="13"/>
  <c r="N7" i="12"/>
  <c r="O8" i="12"/>
  <c r="N7" i="11"/>
  <c r="O8" i="11"/>
  <c r="O8" i="10"/>
  <c r="N7" i="10"/>
  <c r="P8" i="9"/>
  <c r="O7" i="9"/>
  <c r="P7" i="8"/>
  <c r="Q8" i="8"/>
  <c r="M38" i="7"/>
  <c r="M36" i="7"/>
  <c r="M34" i="7"/>
  <c r="M32" i="7"/>
  <c r="M30" i="7"/>
  <c r="M17" i="7"/>
  <c r="M22" i="7"/>
  <c r="M25" i="7"/>
  <c r="M12" i="7"/>
  <c r="M33" i="7"/>
  <c r="M24" i="7"/>
  <c r="M23" i="7"/>
  <c r="M26" i="7"/>
  <c r="M35" i="7"/>
  <c r="M9" i="7"/>
  <c r="M13" i="7"/>
  <c r="M21" i="7"/>
  <c r="M16" i="7"/>
  <c r="M28" i="7"/>
  <c r="M27" i="7"/>
  <c r="M18" i="7"/>
  <c r="M31" i="7"/>
  <c r="M20" i="7"/>
  <c r="M14" i="7"/>
  <c r="M10" i="7"/>
  <c r="M37" i="7"/>
  <c r="M15" i="7"/>
  <c r="M29" i="7"/>
  <c r="M11" i="7"/>
  <c r="M19" i="7"/>
  <c r="O8" i="7"/>
  <c r="N7" i="7"/>
  <c r="O8" i="6"/>
  <c r="N7" i="6"/>
  <c r="O8" i="5"/>
  <c r="N7" i="5"/>
  <c r="O8" i="4"/>
  <c r="N7" i="4"/>
  <c r="BC29" i="2"/>
  <c r="BC36" i="2"/>
  <c r="BC17" i="2"/>
  <c r="BC24" i="2"/>
  <c r="BC28" i="2"/>
  <c r="BC12" i="2"/>
  <c r="BC16" i="2"/>
  <c r="BC35" i="2"/>
  <c r="BC27" i="2"/>
  <c r="BC23" i="2"/>
  <c r="BC15" i="2"/>
  <c r="BC11" i="2"/>
  <c r="BC32" i="2"/>
  <c r="BC38" i="2"/>
  <c r="BC34" i="2"/>
  <c r="BC20" i="2"/>
  <c r="BC26" i="2"/>
  <c r="BC22" i="2"/>
  <c r="BC31" i="2"/>
  <c r="BC14" i="2"/>
  <c r="BC19" i="2"/>
  <c r="BC37" i="2"/>
  <c r="BC33" i="2"/>
  <c r="BC30" i="2"/>
  <c r="BC25" i="2"/>
  <c r="BC21" i="2"/>
  <c r="BC18" i="2"/>
  <c r="BC13" i="2"/>
  <c r="M8" i="2"/>
  <c r="L7" i="2"/>
  <c r="Q8" i="14" l="1"/>
  <c r="P7" i="14"/>
  <c r="O7" i="13"/>
  <c r="P8" i="13"/>
  <c r="O7" i="12"/>
  <c r="P8" i="12"/>
  <c r="N38" i="12"/>
  <c r="N36" i="12"/>
  <c r="N34" i="12"/>
  <c r="N32" i="12"/>
  <c r="N30" i="12"/>
  <c r="N28" i="12"/>
  <c r="N26" i="12"/>
  <c r="N24" i="12"/>
  <c r="N22" i="12"/>
  <c r="N33" i="12"/>
  <c r="N17" i="12"/>
  <c r="N31" i="12"/>
  <c r="N25" i="12"/>
  <c r="N35" i="12"/>
  <c r="N12" i="12"/>
  <c r="N16" i="12"/>
  <c r="N9" i="12"/>
  <c r="N37" i="12"/>
  <c r="N15" i="12"/>
  <c r="N21" i="12"/>
  <c r="N13" i="12"/>
  <c r="N20" i="12"/>
  <c r="N19" i="12"/>
  <c r="N29" i="12"/>
  <c r="N27" i="12"/>
  <c r="N23" i="12"/>
  <c r="N10" i="12"/>
  <c r="N11" i="12"/>
  <c r="N18" i="12"/>
  <c r="N14" i="12"/>
  <c r="O7" i="11"/>
  <c r="P8" i="11"/>
  <c r="P8" i="10"/>
  <c r="O7" i="10"/>
  <c r="P7" i="9"/>
  <c r="Q8" i="9"/>
  <c r="O38" i="9"/>
  <c r="O34" i="9"/>
  <c r="O29" i="9"/>
  <c r="O24" i="9"/>
  <c r="O19" i="9"/>
  <c r="O20" i="9"/>
  <c r="O10" i="9"/>
  <c r="O33" i="9"/>
  <c r="O15" i="9"/>
  <c r="O36" i="9"/>
  <c r="O32" i="9"/>
  <c r="O14" i="9"/>
  <c r="O11" i="9"/>
  <c r="O17" i="9"/>
  <c r="O37" i="9"/>
  <c r="O30" i="9"/>
  <c r="O9" i="9"/>
  <c r="O35" i="9"/>
  <c r="O16" i="9"/>
  <c r="O13" i="9"/>
  <c r="O31" i="9"/>
  <c r="O27" i="9"/>
  <c r="O26" i="9"/>
  <c r="O25" i="9"/>
  <c r="O12" i="9"/>
  <c r="O22" i="9"/>
  <c r="O18" i="9"/>
  <c r="O21" i="9"/>
  <c r="O28" i="9"/>
  <c r="O23" i="9"/>
  <c r="Q7" i="8"/>
  <c r="R8" i="8"/>
  <c r="P8" i="7"/>
  <c r="O7" i="7"/>
  <c r="P8" i="6"/>
  <c r="O7" i="6"/>
  <c r="P8" i="5"/>
  <c r="O7" i="5"/>
  <c r="P8" i="4"/>
  <c r="O7" i="4"/>
  <c r="N8" i="2"/>
  <c r="M7" i="2"/>
  <c r="Q7" i="14" l="1"/>
  <c r="R8" i="14"/>
  <c r="P22" i="14"/>
  <c r="P17" i="14"/>
  <c r="P36" i="14"/>
  <c r="P31" i="14"/>
  <c r="P26" i="14"/>
  <c r="P21" i="14"/>
  <c r="P35" i="14"/>
  <c r="P28" i="14"/>
  <c r="P23" i="14"/>
  <c r="P30" i="14"/>
  <c r="P25" i="14"/>
  <c r="P18" i="14"/>
  <c r="P9" i="14"/>
  <c r="P38" i="14"/>
  <c r="P34" i="14"/>
  <c r="P27" i="14"/>
  <c r="P32" i="14"/>
  <c r="P19" i="14"/>
  <c r="P16" i="14"/>
  <c r="P11" i="14"/>
  <c r="P13" i="14"/>
  <c r="P24" i="14"/>
  <c r="P10" i="14"/>
  <c r="P29" i="14"/>
  <c r="P12" i="14"/>
  <c r="P33" i="14"/>
  <c r="P37" i="14"/>
  <c r="P20" i="14"/>
  <c r="P14" i="14"/>
  <c r="P15" i="14"/>
  <c r="Q8" i="13"/>
  <c r="P7" i="13"/>
  <c r="Q8" i="12"/>
  <c r="P7" i="12"/>
  <c r="Q8" i="11"/>
  <c r="P7" i="11"/>
  <c r="P7" i="10"/>
  <c r="Q8" i="10"/>
  <c r="R8" i="9"/>
  <c r="Q7" i="9"/>
  <c r="Q37" i="8"/>
  <c r="Q36" i="8"/>
  <c r="Q34" i="8"/>
  <c r="Q29" i="8"/>
  <c r="Q38" i="8"/>
  <c r="Q35" i="8"/>
  <c r="Q21" i="8"/>
  <c r="Q20" i="8"/>
  <c r="Q13" i="8"/>
  <c r="Q23" i="8"/>
  <c r="Q22" i="8"/>
  <c r="Q32" i="8"/>
  <c r="Q16" i="8"/>
  <c r="Q14" i="8"/>
  <c r="Q18" i="8"/>
  <c r="Q11" i="8"/>
  <c r="Q24" i="8"/>
  <c r="Q31" i="8"/>
  <c r="Q30" i="8"/>
  <c r="Q19" i="8"/>
  <c r="Q28" i="8"/>
  <c r="Q17" i="8"/>
  <c r="Q27" i="8"/>
  <c r="Q26" i="8"/>
  <c r="Q10" i="8"/>
  <c r="Q9" i="8"/>
  <c r="Q25" i="8"/>
  <c r="Q12" i="8"/>
  <c r="Q33" i="8"/>
  <c r="Q15" i="8"/>
  <c r="R7" i="8"/>
  <c r="S8" i="8"/>
  <c r="Q8" i="7"/>
  <c r="P7" i="7"/>
  <c r="O38" i="6"/>
  <c r="O36" i="6"/>
  <c r="O34" i="6"/>
  <c r="O32" i="6"/>
  <c r="O30" i="6"/>
  <c r="O26" i="6"/>
  <c r="O21" i="6"/>
  <c r="O37" i="6"/>
  <c r="O27" i="6"/>
  <c r="O24" i="6"/>
  <c r="O12" i="6"/>
  <c r="O18" i="6"/>
  <c r="O15" i="6"/>
  <c r="O9" i="6"/>
  <c r="O29" i="6"/>
  <c r="O13" i="6"/>
  <c r="O31" i="6"/>
  <c r="O28" i="6"/>
  <c r="O19" i="6"/>
  <c r="O16" i="6"/>
  <c r="O10" i="6"/>
  <c r="O33" i="6"/>
  <c r="O25" i="6"/>
  <c r="O11" i="6"/>
  <c r="O22" i="6"/>
  <c r="O35" i="6"/>
  <c r="O20" i="6"/>
  <c r="O17" i="6"/>
  <c r="O23" i="6"/>
  <c r="O14" i="6"/>
  <c r="Q8" i="6"/>
  <c r="P7" i="6"/>
  <c r="Q8" i="5"/>
  <c r="P7" i="5"/>
  <c r="Q8" i="4"/>
  <c r="P7" i="4"/>
  <c r="O8" i="2"/>
  <c r="N7" i="2"/>
  <c r="R7" i="14" l="1"/>
  <c r="S8" i="14"/>
  <c r="R8" i="13"/>
  <c r="Q7" i="13"/>
  <c r="R8" i="12"/>
  <c r="Q7" i="12"/>
  <c r="P21" i="11"/>
  <c r="P38" i="11"/>
  <c r="P35" i="11"/>
  <c r="P29" i="11"/>
  <c r="P32" i="11"/>
  <c r="P26" i="11"/>
  <c r="P11" i="11"/>
  <c r="P14" i="11"/>
  <c r="P12" i="11"/>
  <c r="P9" i="11"/>
  <c r="P23" i="11"/>
  <c r="P18" i="11"/>
  <c r="P10" i="11"/>
  <c r="P17" i="11"/>
  <c r="P36" i="11"/>
  <c r="P15" i="11"/>
  <c r="P28" i="11"/>
  <c r="P19" i="11"/>
  <c r="P31" i="11"/>
  <c r="P27" i="11"/>
  <c r="P24" i="11"/>
  <c r="P13" i="11"/>
  <c r="P30" i="11"/>
  <c r="P16" i="11"/>
  <c r="P34" i="11"/>
  <c r="P20" i="11"/>
  <c r="P25" i="11"/>
  <c r="P33" i="11"/>
  <c r="P22" i="11"/>
  <c r="P37" i="11"/>
  <c r="R8" i="11"/>
  <c r="Q7" i="11"/>
  <c r="Q7" i="10"/>
  <c r="R8" i="10"/>
  <c r="S8" i="9"/>
  <c r="R7" i="9"/>
  <c r="S7" i="8"/>
  <c r="T8" i="8"/>
  <c r="R8" i="7"/>
  <c r="Q7" i="7"/>
  <c r="Q7" i="6"/>
  <c r="R8" i="6"/>
  <c r="Q7" i="5"/>
  <c r="R8" i="5"/>
  <c r="Q7" i="4"/>
  <c r="R8" i="4"/>
  <c r="N13" i="2"/>
  <c r="N25" i="2"/>
  <c r="N37" i="2"/>
  <c r="N20" i="2"/>
  <c r="N32" i="2"/>
  <c r="N29" i="2"/>
  <c r="N35" i="2"/>
  <c r="N23" i="2"/>
  <c r="N10" i="2"/>
  <c r="N16" i="2"/>
  <c r="N36" i="2"/>
  <c r="N17" i="2"/>
  <c r="N15" i="2"/>
  <c r="N34" i="2"/>
  <c r="N30" i="2"/>
  <c r="N12" i="2"/>
  <c r="N22" i="2"/>
  <c r="N9" i="2"/>
  <c r="N14" i="2"/>
  <c r="N19" i="2"/>
  <c r="N24" i="2"/>
  <c r="N18" i="2"/>
  <c r="N21" i="2"/>
  <c r="N31" i="2"/>
  <c r="N27" i="2"/>
  <c r="N26" i="2"/>
  <c r="N33" i="2"/>
  <c r="N38" i="2"/>
  <c r="N11" i="2"/>
  <c r="N28" i="2"/>
  <c r="P8" i="2"/>
  <c r="O7" i="2"/>
  <c r="T8" i="14" l="1"/>
  <c r="S7" i="14"/>
  <c r="S8" i="13"/>
  <c r="R7" i="13"/>
  <c r="R7" i="12"/>
  <c r="S8" i="12"/>
  <c r="R7" i="11"/>
  <c r="S8" i="11"/>
  <c r="R7" i="10"/>
  <c r="S8" i="10"/>
  <c r="S7" i="9"/>
  <c r="T8" i="9"/>
  <c r="T7" i="8"/>
  <c r="U8" i="8"/>
  <c r="R7" i="7"/>
  <c r="S8" i="7"/>
  <c r="S8" i="6"/>
  <c r="R7" i="6"/>
  <c r="R7" i="5"/>
  <c r="S8" i="5"/>
  <c r="R7" i="4"/>
  <c r="S8" i="4"/>
  <c r="Q8" i="2"/>
  <c r="P7" i="2"/>
  <c r="T7" i="14" l="1"/>
  <c r="U8" i="14"/>
  <c r="T8" i="13"/>
  <c r="S7" i="13"/>
  <c r="R18" i="13"/>
  <c r="R14" i="13"/>
  <c r="R12" i="13"/>
  <c r="R38" i="13"/>
  <c r="R35" i="13"/>
  <c r="R29" i="13"/>
  <c r="R13" i="13"/>
  <c r="R32" i="13"/>
  <c r="R26" i="13"/>
  <c r="R23" i="13"/>
  <c r="R36" i="13"/>
  <c r="R27" i="13"/>
  <c r="R19" i="13"/>
  <c r="R31" i="13"/>
  <c r="R22" i="13"/>
  <c r="R34" i="13"/>
  <c r="R28" i="13"/>
  <c r="R21" i="13"/>
  <c r="R16" i="13"/>
  <c r="R9" i="13"/>
  <c r="R37" i="13"/>
  <c r="R30" i="13"/>
  <c r="R24" i="13"/>
  <c r="R33" i="13"/>
  <c r="R20" i="13"/>
  <c r="R25" i="13"/>
  <c r="R11" i="13"/>
  <c r="R15" i="13"/>
  <c r="R10" i="13"/>
  <c r="R17" i="13"/>
  <c r="S7" i="12"/>
  <c r="T8" i="12"/>
  <c r="T8" i="11"/>
  <c r="S7" i="11"/>
  <c r="S7" i="10"/>
  <c r="T8" i="10"/>
  <c r="U8" i="9"/>
  <c r="T7" i="9"/>
  <c r="V8" i="8"/>
  <c r="U7" i="8"/>
  <c r="S7" i="7"/>
  <c r="T8" i="7"/>
  <c r="S7" i="6"/>
  <c r="T8" i="6"/>
  <c r="R37" i="5"/>
  <c r="R36" i="5"/>
  <c r="R25" i="5"/>
  <c r="R24" i="5"/>
  <c r="R16" i="5"/>
  <c r="R22" i="5"/>
  <c r="R35" i="5"/>
  <c r="R31" i="5"/>
  <c r="R15" i="5"/>
  <c r="R28" i="5"/>
  <c r="R17" i="5"/>
  <c r="R14" i="5"/>
  <c r="R19" i="5"/>
  <c r="R18" i="5"/>
  <c r="R13" i="5"/>
  <c r="R9" i="5"/>
  <c r="R33" i="5"/>
  <c r="R38" i="5"/>
  <c r="R29" i="5"/>
  <c r="R20" i="5"/>
  <c r="R12" i="5"/>
  <c r="R26" i="5"/>
  <c r="R30" i="5"/>
  <c r="R34" i="5"/>
  <c r="R27" i="5"/>
  <c r="R32" i="5"/>
  <c r="R21" i="5"/>
  <c r="R10" i="5"/>
  <c r="R23" i="5"/>
  <c r="R11" i="5"/>
  <c r="S7" i="5"/>
  <c r="T8" i="5"/>
  <c r="S7" i="4"/>
  <c r="T8" i="4"/>
  <c r="R21" i="4"/>
  <c r="R16" i="4"/>
  <c r="R34" i="4"/>
  <c r="R33" i="4"/>
  <c r="R14" i="4"/>
  <c r="R35" i="4"/>
  <c r="R18" i="4"/>
  <c r="R17" i="4"/>
  <c r="R11" i="4"/>
  <c r="R9" i="4"/>
  <c r="R22" i="4"/>
  <c r="R37" i="4"/>
  <c r="R26" i="4"/>
  <c r="R12" i="4"/>
  <c r="R10" i="4"/>
  <c r="R31" i="4"/>
  <c r="R24" i="4"/>
  <c r="R15" i="4"/>
  <c r="R38" i="4"/>
  <c r="R23" i="4"/>
  <c r="R20" i="4"/>
  <c r="R32" i="4"/>
  <c r="R29" i="4"/>
  <c r="R25" i="4"/>
  <c r="R19" i="4"/>
  <c r="R27" i="4"/>
  <c r="R28" i="4"/>
  <c r="R13" i="4"/>
  <c r="R36" i="4"/>
  <c r="R30" i="4"/>
  <c r="R8" i="2"/>
  <c r="Q7" i="2"/>
  <c r="U7" i="14" l="1"/>
  <c r="V8" i="14"/>
  <c r="U8" i="13"/>
  <c r="T7" i="13"/>
  <c r="T7" i="12"/>
  <c r="U8" i="12"/>
  <c r="T7" i="11"/>
  <c r="U8" i="11"/>
  <c r="U8" i="10"/>
  <c r="T7" i="10"/>
  <c r="S37" i="10"/>
  <c r="S35" i="10"/>
  <c r="S33" i="10"/>
  <c r="S31" i="10"/>
  <c r="S29" i="10"/>
  <c r="S27" i="10"/>
  <c r="S25" i="10"/>
  <c r="S23" i="10"/>
  <c r="S21" i="10"/>
  <c r="S12" i="10"/>
  <c r="S34" i="10"/>
  <c r="S30" i="10"/>
  <c r="S11" i="10"/>
  <c r="S20" i="10"/>
  <c r="S28" i="10"/>
  <c r="S14" i="10"/>
  <c r="S9" i="10"/>
  <c r="S26" i="10"/>
  <c r="S24" i="10"/>
  <c r="S18" i="10"/>
  <c r="S19" i="10"/>
  <c r="S15" i="10"/>
  <c r="S10" i="10"/>
  <c r="S36" i="10"/>
  <c r="S17" i="10"/>
  <c r="S38" i="10"/>
  <c r="S13" i="10"/>
  <c r="S22" i="10"/>
  <c r="S32" i="10"/>
  <c r="S16" i="10"/>
  <c r="U7" i="9"/>
  <c r="V8" i="9"/>
  <c r="V7" i="8"/>
  <c r="W8" i="8"/>
  <c r="T7" i="7"/>
  <c r="U8" i="7"/>
  <c r="T7" i="6"/>
  <c r="U8" i="6"/>
  <c r="T7" i="5"/>
  <c r="U8" i="5"/>
  <c r="T7" i="4"/>
  <c r="U8" i="4"/>
  <c r="S8" i="2"/>
  <c r="R7" i="2"/>
  <c r="V7" i="14" l="1"/>
  <c r="W8" i="14"/>
  <c r="U7" i="13"/>
  <c r="V8" i="13"/>
  <c r="U7" i="12"/>
  <c r="V8" i="12"/>
  <c r="U7" i="11"/>
  <c r="V8" i="11"/>
  <c r="V8" i="10"/>
  <c r="U7" i="10"/>
  <c r="W8" i="9"/>
  <c r="V7" i="9"/>
  <c r="W7" i="8"/>
  <c r="X8" i="8"/>
  <c r="V8" i="7"/>
  <c r="U7" i="7"/>
  <c r="T37" i="7"/>
  <c r="T35" i="7"/>
  <c r="T33" i="7"/>
  <c r="T31" i="7"/>
  <c r="T29" i="7"/>
  <c r="T36" i="7"/>
  <c r="T24" i="7"/>
  <c r="T19" i="7"/>
  <c r="T17" i="7"/>
  <c r="T16" i="7"/>
  <c r="T14" i="7"/>
  <c r="T32" i="7"/>
  <c r="T15" i="7"/>
  <c r="T34" i="7"/>
  <c r="T38" i="7"/>
  <c r="T25" i="7"/>
  <c r="T20" i="7"/>
  <c r="T27" i="7"/>
  <c r="T10" i="7"/>
  <c r="T26" i="7"/>
  <c r="T28" i="7"/>
  <c r="T12" i="7"/>
  <c r="T18" i="7"/>
  <c r="T11" i="7"/>
  <c r="T13" i="7"/>
  <c r="T23" i="7"/>
  <c r="T22" i="7"/>
  <c r="T9" i="7"/>
  <c r="T21" i="7"/>
  <c r="T30" i="7"/>
  <c r="U7" i="6"/>
  <c r="V8" i="6"/>
  <c r="V8" i="5"/>
  <c r="U7" i="5"/>
  <c r="U7" i="4"/>
  <c r="V8" i="4"/>
  <c r="T8" i="2"/>
  <c r="S7" i="2"/>
  <c r="W7" i="14" l="1"/>
  <c r="X8" i="14"/>
  <c r="V7" i="13"/>
  <c r="W8" i="13"/>
  <c r="U37" i="12"/>
  <c r="U35" i="12"/>
  <c r="U33" i="12"/>
  <c r="U31" i="12"/>
  <c r="U29" i="12"/>
  <c r="U27" i="12"/>
  <c r="U25" i="12"/>
  <c r="U23" i="12"/>
  <c r="U21" i="12"/>
  <c r="U19" i="12"/>
  <c r="U17" i="12"/>
  <c r="U15" i="12"/>
  <c r="U18" i="12"/>
  <c r="U16" i="12"/>
  <c r="U14" i="12"/>
  <c r="U36" i="12"/>
  <c r="U30" i="12"/>
  <c r="U12" i="12"/>
  <c r="U10" i="12"/>
  <c r="U34" i="12"/>
  <c r="U38" i="12"/>
  <c r="U28" i="12"/>
  <c r="U11" i="12"/>
  <c r="U22" i="12"/>
  <c r="U24" i="12"/>
  <c r="U32" i="12"/>
  <c r="U13" i="12"/>
  <c r="U26" i="12"/>
  <c r="U20" i="12"/>
  <c r="U9" i="12"/>
  <c r="W8" i="12"/>
  <c r="V7" i="12"/>
  <c r="V7" i="11"/>
  <c r="W8" i="11"/>
  <c r="W8" i="10"/>
  <c r="V7" i="10"/>
  <c r="V36" i="9"/>
  <c r="V17" i="9"/>
  <c r="V31" i="9"/>
  <c r="V26" i="9"/>
  <c r="V34" i="9"/>
  <c r="V37" i="9"/>
  <c r="V28" i="9"/>
  <c r="V25" i="9"/>
  <c r="V12" i="9"/>
  <c r="V32" i="9"/>
  <c r="V30" i="9"/>
  <c r="V29" i="9"/>
  <c r="V13" i="9"/>
  <c r="V10" i="9"/>
  <c r="V38" i="9"/>
  <c r="V33" i="9"/>
  <c r="V16" i="9"/>
  <c r="V27" i="9"/>
  <c r="V23" i="9"/>
  <c r="V21" i="9"/>
  <c r="V20" i="9"/>
  <c r="V35" i="9"/>
  <c r="V24" i="9"/>
  <c r="V15" i="9"/>
  <c r="V22" i="9"/>
  <c r="V19" i="9"/>
  <c r="V18" i="9"/>
  <c r="V14" i="9"/>
  <c r="V11" i="9"/>
  <c r="V9" i="9"/>
  <c r="X8" i="9"/>
  <c r="W7" i="9"/>
  <c r="X7" i="8"/>
  <c r="Y8" i="8"/>
  <c r="W8" i="7"/>
  <c r="V7" i="7"/>
  <c r="V7" i="6"/>
  <c r="W8" i="6"/>
  <c r="W8" i="5"/>
  <c r="V7" i="5"/>
  <c r="V7" i="4"/>
  <c r="W8" i="4"/>
  <c r="U8" i="2"/>
  <c r="T7" i="2"/>
  <c r="W29" i="14" l="1"/>
  <c r="W24" i="14"/>
  <c r="W38" i="14"/>
  <c r="W19" i="14"/>
  <c r="W33" i="14"/>
  <c r="W28" i="14"/>
  <c r="W17" i="14"/>
  <c r="W10" i="14"/>
  <c r="W35" i="14"/>
  <c r="W30" i="14"/>
  <c r="W27" i="14"/>
  <c r="W22" i="14"/>
  <c r="W21" i="14"/>
  <c r="W16" i="14"/>
  <c r="W14" i="14"/>
  <c r="W12" i="14"/>
  <c r="W25" i="14"/>
  <c r="W20" i="14"/>
  <c r="W15" i="14"/>
  <c r="W23" i="14"/>
  <c r="W13" i="14"/>
  <c r="W26" i="14"/>
  <c r="W32" i="14"/>
  <c r="W11" i="14"/>
  <c r="W34" i="14"/>
  <c r="W18" i="14"/>
  <c r="W37" i="14"/>
  <c r="W9" i="14"/>
  <c r="W31" i="14"/>
  <c r="W36" i="14"/>
  <c r="Y8" i="14"/>
  <c r="X7" i="14"/>
  <c r="W7" i="13"/>
  <c r="X8" i="13"/>
  <c r="X8" i="12"/>
  <c r="W7" i="12"/>
  <c r="W7" i="11"/>
  <c r="X8" i="11"/>
  <c r="X8" i="10"/>
  <c r="W7" i="10"/>
  <c r="Y8" i="9"/>
  <c r="X7" i="9"/>
  <c r="Z8" i="8"/>
  <c r="Y7" i="8"/>
  <c r="X17" i="8"/>
  <c r="X28" i="8"/>
  <c r="X27" i="8"/>
  <c r="X30" i="8"/>
  <c r="X29" i="8"/>
  <c r="X31" i="8"/>
  <c r="X38" i="8"/>
  <c r="X37" i="8"/>
  <c r="X36" i="8"/>
  <c r="X35" i="8"/>
  <c r="X34" i="8"/>
  <c r="X25" i="8"/>
  <c r="X15" i="8"/>
  <c r="X32" i="8"/>
  <c r="X14" i="8"/>
  <c r="X33" i="8"/>
  <c r="X23" i="8"/>
  <c r="X20" i="8"/>
  <c r="X11" i="8"/>
  <c r="X24" i="8"/>
  <c r="X18" i="8"/>
  <c r="X9" i="8"/>
  <c r="X26" i="8"/>
  <c r="X22" i="8"/>
  <c r="X19" i="8"/>
  <c r="X12" i="8"/>
  <c r="X16" i="8"/>
  <c r="X13" i="8"/>
  <c r="X21" i="8"/>
  <c r="X10" i="8"/>
  <c r="X8" i="7"/>
  <c r="W7" i="7"/>
  <c r="X8" i="6"/>
  <c r="W7" i="6"/>
  <c r="V34" i="6"/>
  <c r="V33" i="6"/>
  <c r="V28" i="6"/>
  <c r="V23" i="6"/>
  <c r="V18" i="6"/>
  <c r="V19" i="6"/>
  <c r="V16" i="6"/>
  <c r="V15" i="6"/>
  <c r="V14" i="6"/>
  <c r="V9" i="6"/>
  <c r="V38" i="6"/>
  <c r="V37" i="6"/>
  <c r="V36" i="6"/>
  <c r="V35" i="6"/>
  <c r="V17" i="6"/>
  <c r="V13" i="6"/>
  <c r="V32" i="6"/>
  <c r="V31" i="6"/>
  <c r="V30" i="6"/>
  <c r="V21" i="6"/>
  <c r="V11" i="6"/>
  <c r="V29" i="6"/>
  <c r="V25" i="6"/>
  <c r="V22" i="6"/>
  <c r="V10" i="6"/>
  <c r="V20" i="6"/>
  <c r="V26" i="6"/>
  <c r="V27" i="6"/>
  <c r="V24" i="6"/>
  <c r="V12" i="6"/>
  <c r="X8" i="5"/>
  <c r="W7" i="5"/>
  <c r="W7" i="4"/>
  <c r="X8" i="4"/>
  <c r="V8" i="2"/>
  <c r="U7" i="2"/>
  <c r="Z8" i="14" l="1"/>
  <c r="Y7" i="14"/>
  <c r="X7" i="13"/>
  <c r="Y8" i="13"/>
  <c r="Y8" i="12"/>
  <c r="X7" i="12"/>
  <c r="Y8" i="11"/>
  <c r="X7" i="11"/>
  <c r="W30" i="11"/>
  <c r="W29" i="11"/>
  <c r="W33" i="11"/>
  <c r="W27" i="11"/>
  <c r="W20" i="11"/>
  <c r="W19" i="11"/>
  <c r="W13" i="11"/>
  <c r="W10" i="11"/>
  <c r="W22" i="11"/>
  <c r="W21" i="11"/>
  <c r="W34" i="11"/>
  <c r="W17" i="11"/>
  <c r="W11" i="11"/>
  <c r="W28" i="11"/>
  <c r="W38" i="11"/>
  <c r="W37" i="11"/>
  <c r="W32" i="11"/>
  <c r="W31" i="11"/>
  <c r="W36" i="11"/>
  <c r="W35" i="11"/>
  <c r="W16" i="11"/>
  <c r="W26" i="11"/>
  <c r="W25" i="11"/>
  <c r="W23" i="11"/>
  <c r="W9" i="11"/>
  <c r="W18" i="11"/>
  <c r="W14" i="11"/>
  <c r="W12" i="11"/>
  <c r="W24" i="11"/>
  <c r="W15" i="11"/>
  <c r="X7" i="10"/>
  <c r="Y8" i="10"/>
  <c r="Y7" i="9"/>
  <c r="Z8" i="9"/>
  <c r="AA8" i="8"/>
  <c r="Z7" i="8"/>
  <c r="Y8" i="7"/>
  <c r="X7" i="7"/>
  <c r="Y8" i="6"/>
  <c r="X7" i="6"/>
  <c r="X7" i="5"/>
  <c r="Y8" i="5"/>
  <c r="Y8" i="4"/>
  <c r="X7" i="4"/>
  <c r="U12" i="2"/>
  <c r="U24" i="2"/>
  <c r="U36" i="2"/>
  <c r="U19" i="2"/>
  <c r="U31" i="2"/>
  <c r="U26" i="2"/>
  <c r="U32" i="2"/>
  <c r="U38" i="2"/>
  <c r="U13" i="2"/>
  <c r="U33" i="2"/>
  <c r="U14" i="2"/>
  <c r="U20" i="2"/>
  <c r="U11" i="2"/>
  <c r="U16" i="2"/>
  <c r="U21" i="2"/>
  <c r="U27" i="2"/>
  <c r="U18" i="2"/>
  <c r="U37" i="2"/>
  <c r="U35" i="2"/>
  <c r="U23" i="2"/>
  <c r="U10" i="2"/>
  <c r="U15" i="2"/>
  <c r="U34" i="2"/>
  <c r="U22" i="2"/>
  <c r="U25" i="2"/>
  <c r="U29" i="2"/>
  <c r="U9" i="2"/>
  <c r="U28" i="2"/>
  <c r="U17" i="2"/>
  <c r="U30" i="2"/>
  <c r="W8" i="2"/>
  <c r="V7" i="2"/>
  <c r="AA8" i="14" l="1"/>
  <c r="Z7" i="14"/>
  <c r="Y7" i="13"/>
  <c r="Z8" i="13"/>
  <c r="Z8" i="12"/>
  <c r="Y7" i="12"/>
  <c r="Z8" i="11"/>
  <c r="Y7" i="11"/>
  <c r="Z8" i="10"/>
  <c r="Y7" i="10"/>
  <c r="AA8" i="9"/>
  <c r="Z7" i="9"/>
  <c r="AA7" i="8"/>
  <c r="AB8" i="8"/>
  <c r="Y7" i="7"/>
  <c r="Z8" i="7"/>
  <c r="Z8" i="6"/>
  <c r="Y7" i="6"/>
  <c r="Y7" i="5"/>
  <c r="Z8" i="5"/>
  <c r="Z8" i="4"/>
  <c r="Y7" i="4"/>
  <c r="X8" i="2"/>
  <c r="W7" i="2"/>
  <c r="AB8" i="14" l="1"/>
  <c r="AA7" i="14"/>
  <c r="Z7" i="13"/>
  <c r="AA8" i="13"/>
  <c r="Y30" i="13"/>
  <c r="Y29" i="13"/>
  <c r="Y27" i="13"/>
  <c r="Y21" i="13"/>
  <c r="Y34" i="13"/>
  <c r="Y18" i="13"/>
  <c r="Y10" i="13"/>
  <c r="Y11" i="13"/>
  <c r="Y38" i="13"/>
  <c r="Y25" i="13"/>
  <c r="Y20" i="13"/>
  <c r="Y9" i="13"/>
  <c r="Y13" i="13"/>
  <c r="Y33" i="13"/>
  <c r="Y17" i="13"/>
  <c r="Y36" i="13"/>
  <c r="Y23" i="13"/>
  <c r="Y14" i="13"/>
  <c r="Y32" i="13"/>
  <c r="Y15" i="13"/>
  <c r="Y26" i="13"/>
  <c r="Y22" i="13"/>
  <c r="Y35" i="13"/>
  <c r="Y31" i="13"/>
  <c r="Y37" i="13"/>
  <c r="Y24" i="13"/>
  <c r="Y28" i="13"/>
  <c r="Y12" i="13"/>
  <c r="Y19" i="13"/>
  <c r="Y16" i="13"/>
  <c r="Z7" i="12"/>
  <c r="AA8" i="12"/>
  <c r="AA8" i="11"/>
  <c r="Z7" i="11"/>
  <c r="AA8" i="10"/>
  <c r="Z7" i="10"/>
  <c r="AA7" i="9"/>
  <c r="AB8" i="9"/>
  <c r="AC8" i="8"/>
  <c r="AB7" i="8"/>
  <c r="Z7" i="7"/>
  <c r="AA8" i="7"/>
  <c r="Z7" i="6"/>
  <c r="AA8" i="6"/>
  <c r="Z7" i="5"/>
  <c r="AA8" i="5"/>
  <c r="Y15" i="5"/>
  <c r="Y34" i="5"/>
  <c r="Y26" i="5"/>
  <c r="Y20" i="5"/>
  <c r="Y29" i="5"/>
  <c r="Y23" i="5"/>
  <c r="Y12" i="5"/>
  <c r="Y36" i="5"/>
  <c r="Y30" i="5"/>
  <c r="Y10" i="5"/>
  <c r="Y25" i="5"/>
  <c r="Y21" i="5"/>
  <c r="Y31" i="5"/>
  <c r="Y14" i="5"/>
  <c r="Y17" i="5"/>
  <c r="Y16" i="5"/>
  <c r="Y19" i="5"/>
  <c r="Y13" i="5"/>
  <c r="Y35" i="5"/>
  <c r="Y28" i="5"/>
  <c r="Y32" i="5"/>
  <c r="Y9" i="5"/>
  <c r="Y38" i="5"/>
  <c r="Y24" i="5"/>
  <c r="Y11" i="5"/>
  <c r="Y37" i="5"/>
  <c r="Y22" i="5"/>
  <c r="Y27" i="5"/>
  <c r="Y18" i="5"/>
  <c r="Y33" i="5"/>
  <c r="Y28" i="4"/>
  <c r="Y23" i="4"/>
  <c r="Y14" i="4"/>
  <c r="Y25" i="4"/>
  <c r="Y24" i="4"/>
  <c r="Y12" i="4"/>
  <c r="Y27" i="4"/>
  <c r="Y26" i="4"/>
  <c r="Y30" i="4"/>
  <c r="Y19" i="4"/>
  <c r="Y13" i="4"/>
  <c r="Y34" i="4"/>
  <c r="Y32" i="4"/>
  <c r="Y21" i="4"/>
  <c r="Y36" i="4"/>
  <c r="Y18" i="4"/>
  <c r="Y35" i="4"/>
  <c r="Y37" i="4"/>
  <c r="Y15" i="4"/>
  <c r="Y33" i="4"/>
  <c r="Y20" i="4"/>
  <c r="Y16" i="4"/>
  <c r="Y17" i="4"/>
  <c r="Y31" i="4"/>
  <c r="Y11" i="4"/>
  <c r="Y38" i="4"/>
  <c r="Y10" i="4"/>
  <c r="Y22" i="4"/>
  <c r="Y9" i="4"/>
  <c r="Y29" i="4"/>
  <c r="AA8" i="4"/>
  <c r="Z7" i="4"/>
  <c r="Y8" i="2"/>
  <c r="X7" i="2"/>
  <c r="AC8" i="14" l="1"/>
  <c r="AB7" i="14"/>
  <c r="AB8" i="13"/>
  <c r="AA7" i="13"/>
  <c r="AA7" i="12"/>
  <c r="AB8" i="12"/>
  <c r="AB8" i="11"/>
  <c r="AA7" i="11"/>
  <c r="Z38" i="10"/>
  <c r="Z36" i="10"/>
  <c r="Z34" i="10"/>
  <c r="Z32" i="10"/>
  <c r="Z30" i="10"/>
  <c r="Z28" i="10"/>
  <c r="Z26" i="10"/>
  <c r="Z24" i="10"/>
  <c r="Z22" i="10"/>
  <c r="Z20" i="10"/>
  <c r="Z37" i="10"/>
  <c r="Z29" i="10"/>
  <c r="Z21" i="10"/>
  <c r="Z15" i="10"/>
  <c r="Z16" i="10"/>
  <c r="Z14" i="10"/>
  <c r="Z27" i="10"/>
  <c r="Z33" i="10"/>
  <c r="Z18" i="10"/>
  <c r="Z17" i="10"/>
  <c r="Z9" i="10"/>
  <c r="Z35" i="10"/>
  <c r="Z23" i="10"/>
  <c r="Z11" i="10"/>
  <c r="Z13" i="10"/>
  <c r="Z19" i="10"/>
  <c r="Z10" i="10"/>
  <c r="Z25" i="10"/>
  <c r="Z12" i="10"/>
  <c r="Z31" i="10"/>
  <c r="AB8" i="10"/>
  <c r="AA7" i="10"/>
  <c r="AB7" i="9"/>
  <c r="AC8" i="9"/>
  <c r="AC7" i="8"/>
  <c r="AD8" i="8"/>
  <c r="AB8" i="7"/>
  <c r="AA7" i="7"/>
  <c r="AB8" i="6"/>
  <c r="AA7" i="6"/>
  <c r="AB8" i="5"/>
  <c r="AA7" i="5"/>
  <c r="AB8" i="4"/>
  <c r="AA7" i="4"/>
  <c r="Z8" i="2"/>
  <c r="Y7" i="2"/>
  <c r="AD8" i="14" l="1"/>
  <c r="AC7" i="14"/>
  <c r="AC8" i="13"/>
  <c r="AB7" i="13"/>
  <c r="AB7" i="12"/>
  <c r="AC8" i="12"/>
  <c r="AC8" i="11"/>
  <c r="AB7" i="11"/>
  <c r="AB7" i="10"/>
  <c r="AC8" i="10"/>
  <c r="AC7" i="9"/>
  <c r="AD8" i="9"/>
  <c r="AE8" i="8"/>
  <c r="AD7" i="8"/>
  <c r="AA38" i="7"/>
  <c r="AA36" i="7"/>
  <c r="AA34" i="7"/>
  <c r="AA32" i="7"/>
  <c r="AA30" i="7"/>
  <c r="AA28" i="7"/>
  <c r="AA26" i="7"/>
  <c r="AA24" i="7"/>
  <c r="AA22" i="7"/>
  <c r="AA20" i="7"/>
  <c r="AA18" i="7"/>
  <c r="AA16" i="7"/>
  <c r="AA9" i="7"/>
  <c r="AA31" i="7"/>
  <c r="AA23" i="7"/>
  <c r="AA12" i="7"/>
  <c r="AA25" i="7"/>
  <c r="AA33" i="7"/>
  <c r="AA14" i="7"/>
  <c r="AA11" i="7"/>
  <c r="AA29" i="7"/>
  <c r="AA37" i="7"/>
  <c r="AA17" i="7"/>
  <c r="AA13" i="7"/>
  <c r="AA19" i="7"/>
  <c r="AA27" i="7"/>
  <c r="AA21" i="7"/>
  <c r="AA35" i="7"/>
  <c r="AA15" i="7"/>
  <c r="AA10" i="7"/>
  <c r="AB7" i="7"/>
  <c r="AC8" i="7"/>
  <c r="AC8" i="6"/>
  <c r="AB7" i="6"/>
  <c r="AC8" i="5"/>
  <c r="AB7" i="5"/>
  <c r="AC8" i="4"/>
  <c r="AB7" i="4"/>
  <c r="AA8" i="2"/>
  <c r="Z7" i="2"/>
  <c r="AE8" i="14" l="1"/>
  <c r="AD7" i="14"/>
  <c r="AD8" i="13"/>
  <c r="AC7" i="13"/>
  <c r="AC7" i="12"/>
  <c r="AD8" i="12"/>
  <c r="AB33" i="12"/>
  <c r="AB32" i="12"/>
  <c r="AB37" i="12"/>
  <c r="AB12" i="12"/>
  <c r="AB34" i="12"/>
  <c r="AB31" i="12"/>
  <c r="AB25" i="12"/>
  <c r="AB28" i="12"/>
  <c r="AB22" i="12"/>
  <c r="AB11" i="12"/>
  <c r="AB9" i="12"/>
  <c r="AB35" i="12"/>
  <c r="AB18" i="12"/>
  <c r="AB17" i="12"/>
  <c r="AB13" i="12"/>
  <c r="AB30" i="12"/>
  <c r="AB29" i="12"/>
  <c r="AB27" i="12"/>
  <c r="AB26" i="12"/>
  <c r="AB23" i="12"/>
  <c r="AB16" i="12"/>
  <c r="AB14" i="12"/>
  <c r="AB38" i="12"/>
  <c r="AB36" i="12"/>
  <c r="AB21" i="12"/>
  <c r="AB15" i="12"/>
  <c r="AB20" i="12"/>
  <c r="AB24" i="12"/>
  <c r="AB19" i="12"/>
  <c r="AB10" i="12"/>
  <c r="AD8" i="11"/>
  <c r="AC7" i="11"/>
  <c r="AC7" i="10"/>
  <c r="AD8" i="10"/>
  <c r="AE8" i="9"/>
  <c r="AD7" i="9"/>
  <c r="AC24" i="9"/>
  <c r="AC19" i="9"/>
  <c r="AC33" i="9"/>
  <c r="AC29" i="9"/>
  <c r="AC26" i="9"/>
  <c r="AC38" i="9"/>
  <c r="AC20" i="9"/>
  <c r="AC15" i="9"/>
  <c r="AC14" i="9"/>
  <c r="AC18" i="9"/>
  <c r="AC35" i="9"/>
  <c r="AC27" i="9"/>
  <c r="AC25" i="9"/>
  <c r="AC13" i="9"/>
  <c r="AC11" i="9"/>
  <c r="AC31" i="9"/>
  <c r="AC23" i="9"/>
  <c r="AC22" i="9"/>
  <c r="AC21" i="9"/>
  <c r="AC12" i="9"/>
  <c r="AC10" i="9"/>
  <c r="AC9" i="9"/>
  <c r="AC34" i="9"/>
  <c r="AC28" i="9"/>
  <c r="AC36" i="9"/>
  <c r="AC17" i="9"/>
  <c r="AC32" i="9"/>
  <c r="AC16" i="9"/>
  <c r="AC30" i="9"/>
  <c r="AC37" i="9"/>
  <c r="AF8" i="8"/>
  <c r="AE7" i="8"/>
  <c r="AD8" i="7"/>
  <c r="AC7" i="7"/>
  <c r="AC7" i="6"/>
  <c r="AD8" i="6"/>
  <c r="AC7" i="5"/>
  <c r="AD8" i="5"/>
  <c r="AD8" i="4"/>
  <c r="AC7" i="4"/>
  <c r="AB8" i="2"/>
  <c r="AA7" i="2"/>
  <c r="AD36" i="14" l="1"/>
  <c r="AD31" i="14"/>
  <c r="AD26" i="14"/>
  <c r="AD21" i="14"/>
  <c r="AD35" i="14"/>
  <c r="AD16" i="14"/>
  <c r="AD13" i="14"/>
  <c r="AD11" i="14"/>
  <c r="AD9" i="14"/>
  <c r="AD38" i="14"/>
  <c r="AD33" i="14"/>
  <c r="AD17" i="14"/>
  <c r="AD15" i="14"/>
  <c r="AD24" i="14"/>
  <c r="AD29" i="14"/>
  <c r="AD37" i="14"/>
  <c r="AD20" i="14"/>
  <c r="AD22" i="14"/>
  <c r="AD32" i="14"/>
  <c r="AD25" i="14"/>
  <c r="AD10" i="14"/>
  <c r="AD27" i="14"/>
  <c r="AD12" i="14"/>
  <c r="AD30" i="14"/>
  <c r="AD19" i="14"/>
  <c r="AD14" i="14"/>
  <c r="AD23" i="14"/>
  <c r="AD28" i="14"/>
  <c r="AD34" i="14"/>
  <c r="AD18" i="14"/>
  <c r="AF8" i="14"/>
  <c r="AE7" i="14"/>
  <c r="AE8" i="13"/>
  <c r="AD7" i="13"/>
  <c r="AD7" i="12"/>
  <c r="AE8" i="12"/>
  <c r="AE8" i="11"/>
  <c r="AD7" i="11"/>
  <c r="AD7" i="10"/>
  <c r="AE8" i="10"/>
  <c r="AF8" i="9"/>
  <c r="AE7" i="9"/>
  <c r="AE37" i="8"/>
  <c r="AE35" i="8"/>
  <c r="AE33" i="8"/>
  <c r="AE31" i="8"/>
  <c r="AE29" i="8"/>
  <c r="AE27" i="8"/>
  <c r="AE25" i="8"/>
  <c r="AE23" i="8"/>
  <c r="AE21" i="8"/>
  <c r="AE19" i="8"/>
  <c r="AE17" i="8"/>
  <c r="AE15" i="8"/>
  <c r="AE36" i="8"/>
  <c r="AE24" i="8"/>
  <c r="AE38" i="8"/>
  <c r="AE20" i="8"/>
  <c r="AE22" i="8"/>
  <c r="AE28" i="8"/>
  <c r="AE10" i="8"/>
  <c r="AE14" i="8"/>
  <c r="AE13" i="8"/>
  <c r="AE11" i="8"/>
  <c r="AE34" i="8"/>
  <c r="AE26" i="8"/>
  <c r="AE16" i="8"/>
  <c r="AE32" i="8"/>
  <c r="AE30" i="8"/>
  <c r="AE18" i="8"/>
  <c r="AE9" i="8"/>
  <c r="AE12" i="8"/>
  <c r="AF7" i="8"/>
  <c r="AG8" i="8"/>
  <c r="AD7" i="7"/>
  <c r="AE8" i="7"/>
  <c r="AC16" i="6"/>
  <c r="AC13" i="6"/>
  <c r="AC11" i="6"/>
  <c r="AC9" i="6"/>
  <c r="AC25" i="6"/>
  <c r="AC35" i="6"/>
  <c r="AC27" i="6"/>
  <c r="AC24" i="6"/>
  <c r="AC20" i="6"/>
  <c r="AC28" i="6"/>
  <c r="AC19" i="6"/>
  <c r="AC22" i="6"/>
  <c r="AC36" i="6"/>
  <c r="AC33" i="6"/>
  <c r="AC30" i="6"/>
  <c r="AC14" i="6"/>
  <c r="AC23" i="6"/>
  <c r="AC32" i="6"/>
  <c r="AC26" i="6"/>
  <c r="AC17" i="6"/>
  <c r="AC38" i="6"/>
  <c r="AC12" i="6"/>
  <c r="AC37" i="6"/>
  <c r="AC29" i="6"/>
  <c r="AC18" i="6"/>
  <c r="AC21" i="6"/>
  <c r="AC34" i="6"/>
  <c r="AC31" i="6"/>
  <c r="AC15" i="6"/>
  <c r="AC10" i="6"/>
  <c r="AD7" i="6"/>
  <c r="AE8" i="6"/>
  <c r="AD7" i="5"/>
  <c r="AE8" i="5"/>
  <c r="AE8" i="4"/>
  <c r="AD7" i="4"/>
  <c r="AC8" i="2"/>
  <c r="AB7" i="2"/>
  <c r="AF7" i="14" l="1"/>
  <c r="AG8" i="14"/>
  <c r="AF8" i="13"/>
  <c r="AE7" i="13"/>
  <c r="AE7" i="12"/>
  <c r="AF8" i="12"/>
  <c r="AF8" i="11"/>
  <c r="AE7" i="11"/>
  <c r="AD16" i="11"/>
  <c r="AD13" i="11"/>
  <c r="AD11" i="11"/>
  <c r="AD9" i="11"/>
  <c r="AD38" i="11"/>
  <c r="AD35" i="11"/>
  <c r="AD29" i="11"/>
  <c r="AD28" i="11"/>
  <c r="AD24" i="11"/>
  <c r="AD12" i="11"/>
  <c r="AD10" i="11"/>
  <c r="AD19" i="11"/>
  <c r="AD14" i="11"/>
  <c r="AD23" i="11"/>
  <c r="AD31" i="11"/>
  <c r="AD27" i="11"/>
  <c r="AD18" i="11"/>
  <c r="AD30" i="11"/>
  <c r="AD26" i="11"/>
  <c r="AD20" i="11"/>
  <c r="AD22" i="11"/>
  <c r="AD34" i="11"/>
  <c r="AD33" i="11"/>
  <c r="AD25" i="11"/>
  <c r="AD17" i="11"/>
  <c r="AD37" i="11"/>
  <c r="AD15" i="11"/>
  <c r="AD21" i="11"/>
  <c r="AD32" i="11"/>
  <c r="AD36" i="11"/>
  <c r="AF8" i="10"/>
  <c r="AE7" i="10"/>
  <c r="AG8" i="9"/>
  <c r="AF7" i="9"/>
  <c r="AH8" i="8"/>
  <c r="AG7" i="8"/>
  <c r="AE7" i="7"/>
  <c r="AF8" i="7"/>
  <c r="AF8" i="6"/>
  <c r="AE7" i="6"/>
  <c r="AE7" i="5"/>
  <c r="AF8" i="5"/>
  <c r="AE7" i="4"/>
  <c r="AF8" i="4"/>
  <c r="AB11" i="2"/>
  <c r="AB23" i="2"/>
  <c r="AB35" i="2"/>
  <c r="AB18" i="2"/>
  <c r="AB30" i="2"/>
  <c r="AB29" i="2"/>
  <c r="AB36" i="2"/>
  <c r="AB10" i="2"/>
  <c r="AB16" i="2"/>
  <c r="AB17" i="2"/>
  <c r="AB24" i="2"/>
  <c r="AB37" i="2"/>
  <c r="AB13" i="2"/>
  <c r="AB34" i="2"/>
  <c r="AB22" i="2"/>
  <c r="AB9" i="2"/>
  <c r="AB28" i="2"/>
  <c r="AB32" i="2"/>
  <c r="AB38" i="2"/>
  <c r="AB14" i="2"/>
  <c r="AB19" i="2"/>
  <c r="AB33" i="2"/>
  <c r="AB26" i="2"/>
  <c r="AB21" i="2"/>
  <c r="AB31" i="2"/>
  <c r="AB12" i="2"/>
  <c r="AB15" i="2"/>
  <c r="AB25" i="2"/>
  <c r="AB27" i="2"/>
  <c r="AB20" i="2"/>
  <c r="AD8" i="2"/>
  <c r="AC7" i="2"/>
  <c r="AG7" i="14" l="1"/>
  <c r="AH8" i="14"/>
  <c r="AG8" i="13"/>
  <c r="AF7" i="13"/>
  <c r="AF7" i="12"/>
  <c r="AG8" i="12"/>
  <c r="AF7" i="11"/>
  <c r="AG8" i="11"/>
  <c r="AG8" i="10"/>
  <c r="AF7" i="10"/>
  <c r="AH8" i="9"/>
  <c r="AG7" i="9"/>
  <c r="AH7" i="8"/>
  <c r="AI8" i="8"/>
  <c r="AF7" i="7"/>
  <c r="AG8" i="7"/>
  <c r="AF7" i="6"/>
  <c r="AG8" i="6"/>
  <c r="AG8" i="5"/>
  <c r="AF7" i="5"/>
  <c r="AF7" i="4"/>
  <c r="AG8" i="4"/>
  <c r="AE8" i="2"/>
  <c r="AD7" i="2"/>
  <c r="AI8" i="14" l="1"/>
  <c r="AH7" i="14"/>
  <c r="AF37" i="13"/>
  <c r="AF35" i="13"/>
  <c r="AF33" i="13"/>
  <c r="AF31" i="13"/>
  <c r="AF29" i="13"/>
  <c r="AF27" i="13"/>
  <c r="AF25" i="13"/>
  <c r="AF23" i="13"/>
  <c r="AF21" i="13"/>
  <c r="AF19" i="13"/>
  <c r="AF17" i="13"/>
  <c r="AF15" i="13"/>
  <c r="AF38" i="13"/>
  <c r="AF24" i="13"/>
  <c r="AF32" i="13"/>
  <c r="AF28" i="13"/>
  <c r="AF36" i="13"/>
  <c r="AF13" i="13"/>
  <c r="AF26" i="13"/>
  <c r="AF11" i="13"/>
  <c r="AF10" i="13"/>
  <c r="AF20" i="13"/>
  <c r="AF22" i="13"/>
  <c r="AF9" i="13"/>
  <c r="AF16" i="13"/>
  <c r="AF34" i="13"/>
  <c r="AF30" i="13"/>
  <c r="AF18" i="13"/>
  <c r="AF12" i="13"/>
  <c r="AF14" i="13"/>
  <c r="AH8" i="13"/>
  <c r="AG7" i="13"/>
  <c r="AG7" i="12"/>
  <c r="AH8" i="12"/>
  <c r="AG7" i="11"/>
  <c r="AH8" i="11"/>
  <c r="AH8" i="10"/>
  <c r="AG7" i="10"/>
  <c r="AI8" i="9"/>
  <c r="AH7" i="9"/>
  <c r="AI7" i="8"/>
  <c r="AJ8" i="8"/>
  <c r="AG7" i="7"/>
  <c r="AH8" i="7"/>
  <c r="AG7" i="6"/>
  <c r="AH8" i="6"/>
  <c r="AF37" i="5"/>
  <c r="AF35" i="5"/>
  <c r="AF33" i="5"/>
  <c r="AF31" i="5"/>
  <c r="AF29" i="5"/>
  <c r="AF27" i="5"/>
  <c r="AF25" i="5"/>
  <c r="AF23" i="5"/>
  <c r="AF21" i="5"/>
  <c r="AF36" i="5"/>
  <c r="AF24" i="5"/>
  <c r="AF17" i="5"/>
  <c r="AF28" i="5"/>
  <c r="AF15" i="5"/>
  <c r="AF16" i="5"/>
  <c r="AF14" i="5"/>
  <c r="AF10" i="5"/>
  <c r="AF22" i="5"/>
  <c r="AF11" i="5"/>
  <c r="AF32" i="5"/>
  <c r="AF34" i="5"/>
  <c r="AF9" i="5"/>
  <c r="AF20" i="5"/>
  <c r="AF19" i="5"/>
  <c r="AF13" i="5"/>
  <c r="AF18" i="5"/>
  <c r="AF12" i="5"/>
  <c r="AF26" i="5"/>
  <c r="AF38" i="5"/>
  <c r="AF30" i="5"/>
  <c r="AH8" i="5"/>
  <c r="AG7" i="5"/>
  <c r="AG7" i="4"/>
  <c r="AH8" i="4"/>
  <c r="AF35" i="4"/>
  <c r="AF30" i="4"/>
  <c r="AF34" i="4"/>
  <c r="AF33" i="4"/>
  <c r="AF16" i="4"/>
  <c r="AF18" i="4"/>
  <c r="AF17" i="4"/>
  <c r="AF27" i="4"/>
  <c r="AF20" i="4"/>
  <c r="AF24" i="4"/>
  <c r="AF29" i="4"/>
  <c r="AF22" i="4"/>
  <c r="AF10" i="4"/>
  <c r="AF31" i="4"/>
  <c r="AF12" i="4"/>
  <c r="AF11" i="4"/>
  <c r="AF21" i="4"/>
  <c r="AF19" i="4"/>
  <c r="AF9" i="4"/>
  <c r="AF36" i="4"/>
  <c r="AF13" i="4"/>
  <c r="AF38" i="4"/>
  <c r="AF28" i="4"/>
  <c r="AF25" i="4"/>
  <c r="AF15" i="4"/>
  <c r="AF32" i="4"/>
  <c r="AF37" i="4"/>
  <c r="AF14" i="4"/>
  <c r="AF23" i="4"/>
  <c r="AF26" i="4"/>
  <c r="AF8" i="2"/>
  <c r="AE7" i="2"/>
  <c r="AW10" i="4" l="1"/>
  <c r="AV10" i="4"/>
  <c r="AW28" i="4"/>
  <c r="AV28" i="4"/>
  <c r="AV36" i="4"/>
  <c r="AW36" i="4"/>
  <c r="AV27" i="4"/>
  <c r="AW27" i="4"/>
  <c r="AV32" i="4"/>
  <c r="AW32" i="4"/>
  <c r="AV30" i="4"/>
  <c r="AW30" i="4"/>
  <c r="AV15" i="4"/>
  <c r="AW15" i="4"/>
  <c r="AW22" i="4"/>
  <c r="AV22" i="4"/>
  <c r="AV20" i="4"/>
  <c r="AW20" i="4"/>
  <c r="AV9" i="4"/>
  <c r="AW9" i="4"/>
  <c r="AW17" i="4"/>
  <c r="AV17" i="4"/>
  <c r="AW13" i="4"/>
  <c r="AV13" i="4"/>
  <c r="AV19" i="4"/>
  <c r="AW19" i="4"/>
  <c r="AV16" i="4"/>
  <c r="AW16" i="4"/>
  <c r="AW25" i="4"/>
  <c r="AV25" i="4"/>
  <c r="AV29" i="4"/>
  <c r="AW29" i="4"/>
  <c r="AW31" i="4"/>
  <c r="AV31" i="4"/>
  <c r="AV35" i="4"/>
  <c r="AW35" i="4"/>
  <c r="AV38" i="4"/>
  <c r="AW38" i="4"/>
  <c r="AW24" i="4"/>
  <c r="AV24" i="4"/>
  <c r="AW26" i="4"/>
  <c r="AV26" i="4"/>
  <c r="AV18" i="4"/>
  <c r="AW18" i="4"/>
  <c r="AV23" i="4"/>
  <c r="AW23" i="4"/>
  <c r="AV21" i="4"/>
  <c r="AW21" i="4"/>
  <c r="AV14" i="4"/>
  <c r="AW14" i="4"/>
  <c r="AW11" i="4"/>
  <c r="AV11" i="4"/>
  <c r="AV33" i="4"/>
  <c r="AW33" i="4"/>
  <c r="AW37" i="4"/>
  <c r="AV37" i="4"/>
  <c r="AW12" i="4"/>
  <c r="AV12" i="4"/>
  <c r="AV34" i="4"/>
  <c r="AW34" i="4"/>
  <c r="AJ8" i="14"/>
  <c r="AI7" i="14"/>
  <c r="AH7" i="13"/>
  <c r="AI8" i="13"/>
  <c r="AH7" i="12"/>
  <c r="AI8" i="12"/>
  <c r="AH7" i="11"/>
  <c r="AI8" i="11"/>
  <c r="AG37" i="10"/>
  <c r="AG35" i="10"/>
  <c r="AG33" i="10"/>
  <c r="AG31" i="10"/>
  <c r="AG29" i="10"/>
  <c r="AG27" i="10"/>
  <c r="AG25" i="10"/>
  <c r="AG23" i="10"/>
  <c r="AG21" i="10"/>
  <c r="AG19" i="10"/>
  <c r="AG17" i="10"/>
  <c r="AG15" i="10"/>
  <c r="AG38" i="10"/>
  <c r="AG30" i="10"/>
  <c r="AG26" i="10"/>
  <c r="AG36" i="10"/>
  <c r="AG11" i="10"/>
  <c r="AG18" i="10"/>
  <c r="AG34" i="10"/>
  <c r="AG24" i="10"/>
  <c r="AG22" i="10"/>
  <c r="AG14" i="10"/>
  <c r="AG20" i="10"/>
  <c r="AG32" i="10"/>
  <c r="AG12" i="10"/>
  <c r="AG9" i="10"/>
  <c r="AG13" i="10"/>
  <c r="AG28" i="10"/>
  <c r="AG10" i="10"/>
  <c r="AG16" i="10"/>
  <c r="AI8" i="10"/>
  <c r="AH7" i="10"/>
  <c r="AJ8" i="9"/>
  <c r="AI7" i="9"/>
  <c r="AJ7" i="8"/>
  <c r="AK8" i="8"/>
  <c r="AI8" i="7"/>
  <c r="AH7" i="7"/>
  <c r="AH7" i="6"/>
  <c r="AI8" i="6"/>
  <c r="AI8" i="5"/>
  <c r="AH7" i="5"/>
  <c r="AH7" i="4"/>
  <c r="AI8" i="4"/>
  <c r="AG8" i="2"/>
  <c r="AF7" i="2"/>
  <c r="AK8" i="14" l="1"/>
  <c r="AJ7" i="14"/>
  <c r="AI7" i="13"/>
  <c r="AJ8" i="13"/>
  <c r="AJ8" i="12"/>
  <c r="AI7" i="12"/>
  <c r="AI7" i="11"/>
  <c r="AJ8" i="11"/>
  <c r="AJ8" i="10"/>
  <c r="AI7" i="10"/>
  <c r="AK8" i="9"/>
  <c r="AJ7" i="9"/>
  <c r="AL8" i="8"/>
  <c r="AK7" i="8"/>
  <c r="AH19" i="7"/>
  <c r="AH30" i="7"/>
  <c r="AH14" i="7"/>
  <c r="AH10" i="7"/>
  <c r="AH35" i="7"/>
  <c r="AH16" i="7"/>
  <c r="AH15" i="7"/>
  <c r="AH32" i="7"/>
  <c r="AH37" i="7"/>
  <c r="AH22" i="7"/>
  <c r="AH23" i="7"/>
  <c r="AH21" i="7"/>
  <c r="AH24" i="7"/>
  <c r="AH20" i="7"/>
  <c r="AH12" i="7"/>
  <c r="AH18" i="7"/>
  <c r="AH27" i="7"/>
  <c r="AH26" i="7"/>
  <c r="AH31" i="7"/>
  <c r="AH11" i="7"/>
  <c r="AH34" i="7"/>
  <c r="AH33" i="7"/>
  <c r="AH25" i="7"/>
  <c r="AH36" i="7"/>
  <c r="AH38" i="7"/>
  <c r="AH9" i="7"/>
  <c r="AH28" i="7"/>
  <c r="AH17" i="7"/>
  <c r="AH29" i="7"/>
  <c r="AH13" i="7"/>
  <c r="AJ8" i="7"/>
  <c r="AI7" i="7"/>
  <c r="AI7" i="6"/>
  <c r="AJ8" i="6"/>
  <c r="AJ8" i="5"/>
  <c r="AI7" i="5"/>
  <c r="AI7" i="4"/>
  <c r="AJ8" i="4"/>
  <c r="AH8" i="2"/>
  <c r="AG7" i="2"/>
  <c r="AL8" i="14" l="1"/>
  <c r="AK7" i="14"/>
  <c r="AJ7" i="13"/>
  <c r="AK8" i="13"/>
  <c r="AI19" i="12"/>
  <c r="AI35" i="12"/>
  <c r="AI29" i="12"/>
  <c r="AI26" i="12"/>
  <c r="AI14" i="12"/>
  <c r="AI18" i="12"/>
  <c r="AI36" i="12"/>
  <c r="AI23" i="12"/>
  <c r="AI16" i="12"/>
  <c r="AI15" i="12"/>
  <c r="AI10" i="12"/>
  <c r="AI17" i="12"/>
  <c r="AI30" i="12"/>
  <c r="AI25" i="12"/>
  <c r="AI20" i="12"/>
  <c r="AI32" i="12"/>
  <c r="AI31" i="12"/>
  <c r="AI12" i="12"/>
  <c r="AI37" i="12"/>
  <c r="AI28" i="12"/>
  <c r="AI9" i="12"/>
  <c r="AI24" i="12"/>
  <c r="AI34" i="12"/>
  <c r="AI13" i="12"/>
  <c r="AI22" i="12"/>
  <c r="AI38" i="12"/>
  <c r="AI27" i="12"/>
  <c r="AI33" i="12"/>
  <c r="AI21" i="12"/>
  <c r="AI11" i="12"/>
  <c r="AK8" i="12"/>
  <c r="AJ7" i="12"/>
  <c r="AK8" i="11"/>
  <c r="AJ7" i="11"/>
  <c r="AK8" i="10"/>
  <c r="AJ7" i="10"/>
  <c r="AJ31" i="9"/>
  <c r="AJ26" i="9"/>
  <c r="AJ21" i="9"/>
  <c r="AJ12" i="9"/>
  <c r="AJ34" i="9"/>
  <c r="AJ37" i="9"/>
  <c r="AJ25" i="9"/>
  <c r="AJ18" i="9"/>
  <c r="AJ24" i="9"/>
  <c r="AJ32" i="9"/>
  <c r="AJ29" i="9"/>
  <c r="AJ17" i="9"/>
  <c r="AJ11" i="9"/>
  <c r="AJ9" i="9"/>
  <c r="AJ30" i="9"/>
  <c r="AJ35" i="9"/>
  <c r="AJ10" i="9"/>
  <c r="AJ36" i="9"/>
  <c r="AJ38" i="9"/>
  <c r="AJ16" i="9"/>
  <c r="AJ13" i="9"/>
  <c r="AJ15" i="9"/>
  <c r="AJ33" i="9"/>
  <c r="AJ28" i="9"/>
  <c r="AJ22" i="9"/>
  <c r="AJ20" i="9"/>
  <c r="AJ14" i="9"/>
  <c r="AJ23" i="9"/>
  <c r="AJ27" i="9"/>
  <c r="AJ19" i="9"/>
  <c r="AL8" i="9"/>
  <c r="AK7" i="9"/>
  <c r="AM8" i="8"/>
  <c r="AL7" i="8"/>
  <c r="AK8" i="7"/>
  <c r="AJ7" i="7"/>
  <c r="AK8" i="6"/>
  <c r="AJ7" i="6"/>
  <c r="AK8" i="5"/>
  <c r="AJ7" i="5"/>
  <c r="AJ7" i="4"/>
  <c r="AK8" i="4"/>
  <c r="AI8" i="2"/>
  <c r="AH7" i="2"/>
  <c r="AW23" i="12" l="1"/>
  <c r="AV23" i="12"/>
  <c r="AW38" i="9"/>
  <c r="AV38" i="9"/>
  <c r="AV37" i="9"/>
  <c r="AW37" i="9"/>
  <c r="AV10" i="9"/>
  <c r="AW10" i="9"/>
  <c r="AW23" i="9"/>
  <c r="AV23" i="9"/>
  <c r="AW35" i="9"/>
  <c r="AV35" i="9"/>
  <c r="AW12" i="9"/>
  <c r="AV12" i="9"/>
  <c r="AW33" i="12"/>
  <c r="AV33" i="12"/>
  <c r="AW32" i="12"/>
  <c r="AV32" i="12"/>
  <c r="AV26" i="12"/>
  <c r="AW26" i="12"/>
  <c r="AW14" i="9"/>
  <c r="AV14" i="9"/>
  <c r="AV30" i="9"/>
  <c r="AW30" i="9"/>
  <c r="AW21" i="9"/>
  <c r="AV21" i="9"/>
  <c r="AV27" i="12"/>
  <c r="AW27" i="12"/>
  <c r="AV20" i="12"/>
  <c r="AW20" i="12"/>
  <c r="AV29" i="12"/>
  <c r="AW29" i="12"/>
  <c r="AV36" i="9"/>
  <c r="AW36" i="9"/>
  <c r="AV12" i="12"/>
  <c r="AW12" i="12"/>
  <c r="AV18" i="12"/>
  <c r="AW18" i="12"/>
  <c r="AW34" i="9"/>
  <c r="AV34" i="9"/>
  <c r="AV14" i="12"/>
  <c r="AW14" i="12"/>
  <c r="AV9" i="9"/>
  <c r="AW9" i="9"/>
  <c r="AV25" i="12"/>
  <c r="AW25" i="12"/>
  <c r="AW19" i="12"/>
  <c r="AV19" i="12"/>
  <c r="AV18" i="9"/>
  <c r="AW18" i="9"/>
  <c r="AW36" i="12"/>
  <c r="AV36" i="12"/>
  <c r="AW26" i="9"/>
  <c r="AV26" i="9"/>
  <c r="AW35" i="12"/>
  <c r="AV35" i="12"/>
  <c r="AW22" i="9"/>
  <c r="AV22" i="9"/>
  <c r="AW22" i="12"/>
  <c r="AV22" i="12"/>
  <c r="AV28" i="9"/>
  <c r="AW28" i="9"/>
  <c r="AW13" i="12"/>
  <c r="AV13" i="12"/>
  <c r="AV28" i="12"/>
  <c r="AW28" i="12"/>
  <c r="AW25" i="9"/>
  <c r="AV25" i="9"/>
  <c r="AW37" i="12"/>
  <c r="AV37" i="12"/>
  <c r="AV11" i="12"/>
  <c r="AW11" i="12"/>
  <c r="AV27" i="9"/>
  <c r="AW27" i="9"/>
  <c r="AW21" i="12"/>
  <c r="AV21" i="12"/>
  <c r="AV31" i="12"/>
  <c r="AW31" i="12"/>
  <c r="AV20" i="9"/>
  <c r="AW20" i="9"/>
  <c r="AV38" i="12"/>
  <c r="AW38" i="12"/>
  <c r="AV11" i="9"/>
  <c r="AW11" i="9"/>
  <c r="AW31" i="9"/>
  <c r="AV31" i="9"/>
  <c r="AV30" i="12"/>
  <c r="AW30" i="12"/>
  <c r="AW17" i="9"/>
  <c r="AV17" i="9"/>
  <c r="AV17" i="12"/>
  <c r="AW17" i="12"/>
  <c r="AW33" i="9"/>
  <c r="AV33" i="9"/>
  <c r="AW29" i="9"/>
  <c r="AV29" i="9"/>
  <c r="AV34" i="12"/>
  <c r="AW34" i="12"/>
  <c r="AV10" i="12"/>
  <c r="AW10" i="12"/>
  <c r="AW19" i="9"/>
  <c r="AV19" i="9"/>
  <c r="AV15" i="9"/>
  <c r="AW15" i="9"/>
  <c r="AV32" i="9"/>
  <c r="AW32" i="9"/>
  <c r="AV16" i="9"/>
  <c r="AW16" i="9"/>
  <c r="AW24" i="12"/>
  <c r="AV24" i="12"/>
  <c r="AV15" i="12"/>
  <c r="AW15" i="12"/>
  <c r="AV13" i="9"/>
  <c r="AW13" i="9"/>
  <c r="AW24" i="9"/>
  <c r="AV24" i="9"/>
  <c r="AW9" i="12"/>
  <c r="AV9" i="12"/>
  <c r="AV16" i="12"/>
  <c r="AW16" i="12"/>
  <c r="AK38" i="14"/>
  <c r="AK19" i="14"/>
  <c r="AK33" i="14"/>
  <c r="AK28" i="14"/>
  <c r="AK14" i="14"/>
  <c r="AK23" i="14"/>
  <c r="AK18" i="14"/>
  <c r="AK37" i="14"/>
  <c r="AK32" i="14"/>
  <c r="AK25" i="14"/>
  <c r="AK20" i="14"/>
  <c r="AK27" i="14"/>
  <c r="AK22" i="14"/>
  <c r="AK15" i="14"/>
  <c r="AK12" i="14"/>
  <c r="AK36" i="14"/>
  <c r="AK16" i="14"/>
  <c r="AK34" i="14"/>
  <c r="AK29" i="14"/>
  <c r="AK10" i="14"/>
  <c r="AK24" i="14"/>
  <c r="AK30" i="14"/>
  <c r="AK9" i="14"/>
  <c r="AK13" i="14"/>
  <c r="AK26" i="14"/>
  <c r="AK17" i="14"/>
  <c r="AK31" i="14"/>
  <c r="AK11" i="14"/>
  <c r="AK35" i="14"/>
  <c r="AK21" i="14"/>
  <c r="AL7" i="14"/>
  <c r="AM8" i="14"/>
  <c r="AK7" i="13"/>
  <c r="AL8" i="13"/>
  <c r="AL8" i="12"/>
  <c r="AK7" i="12"/>
  <c r="AL8" i="11"/>
  <c r="AK7" i="11"/>
  <c r="AL8" i="10"/>
  <c r="AK7" i="10"/>
  <c r="AM8" i="9"/>
  <c r="AL7" i="9"/>
  <c r="AL31" i="8"/>
  <c r="AL36" i="8"/>
  <c r="AL27" i="8"/>
  <c r="AL29" i="8"/>
  <c r="AL28" i="8"/>
  <c r="AL11" i="8"/>
  <c r="AL9" i="8"/>
  <c r="AL30" i="8"/>
  <c r="AL15" i="8"/>
  <c r="AL22" i="8"/>
  <c r="AL12" i="8"/>
  <c r="AL23" i="8"/>
  <c r="AL20" i="8"/>
  <c r="AL17" i="8"/>
  <c r="AL21" i="8"/>
  <c r="AL19" i="8"/>
  <c r="AL38" i="8"/>
  <c r="AL35" i="8"/>
  <c r="AL37" i="8"/>
  <c r="AL34" i="8"/>
  <c r="AL33" i="8"/>
  <c r="AL25" i="8"/>
  <c r="AL26" i="8"/>
  <c r="AL32" i="8"/>
  <c r="AL13" i="8"/>
  <c r="AL18" i="8"/>
  <c r="AL24" i="8"/>
  <c r="AL10" i="8"/>
  <c r="AL14" i="8"/>
  <c r="AL16" i="8"/>
  <c r="AN8" i="8"/>
  <c r="AM7" i="8"/>
  <c r="AL8" i="7"/>
  <c r="AK7" i="7"/>
  <c r="AJ34" i="6"/>
  <c r="AJ33" i="6"/>
  <c r="AJ23" i="6"/>
  <c r="AJ18" i="6"/>
  <c r="AJ28" i="6"/>
  <c r="AJ25" i="6"/>
  <c r="AJ16" i="6"/>
  <c r="AJ15" i="6"/>
  <c r="AJ14" i="6"/>
  <c r="AJ9" i="6"/>
  <c r="AJ36" i="6"/>
  <c r="AJ19" i="6"/>
  <c r="AJ27" i="6"/>
  <c r="AJ26" i="6"/>
  <c r="AJ22" i="6"/>
  <c r="AJ17" i="6"/>
  <c r="AJ35" i="6"/>
  <c r="AJ20" i="6"/>
  <c r="AJ38" i="6"/>
  <c r="AJ32" i="6"/>
  <c r="AJ12" i="6"/>
  <c r="AJ29" i="6"/>
  <c r="AJ37" i="6"/>
  <c r="AJ21" i="6"/>
  <c r="AJ11" i="6"/>
  <c r="AJ24" i="6"/>
  <c r="AJ31" i="6"/>
  <c r="AJ10" i="6"/>
  <c r="AJ13" i="6"/>
  <c r="AJ30" i="6"/>
  <c r="AK7" i="6"/>
  <c r="AL8" i="6"/>
  <c r="AL8" i="5"/>
  <c r="AK7" i="5"/>
  <c r="AL8" i="4"/>
  <c r="AK7" i="4"/>
  <c r="AJ8" i="2"/>
  <c r="AI7" i="2"/>
  <c r="AW14" i="6" l="1"/>
  <c r="AV14" i="6"/>
  <c r="AV32" i="6"/>
  <c r="AW32" i="6"/>
  <c r="AW11" i="8"/>
  <c r="AV11" i="8"/>
  <c r="AW27" i="14"/>
  <c r="AV27" i="14"/>
  <c r="AV28" i="8"/>
  <c r="AW28" i="8"/>
  <c r="AV9" i="14"/>
  <c r="AW9" i="14"/>
  <c r="AV30" i="6"/>
  <c r="AW30" i="6"/>
  <c r="AW25" i="6"/>
  <c r="AV25" i="6"/>
  <c r="AW10" i="8"/>
  <c r="AV10" i="8"/>
  <c r="AV29" i="8"/>
  <c r="AW29" i="8"/>
  <c r="AV30" i="14"/>
  <c r="AW30" i="14"/>
  <c r="AW25" i="14"/>
  <c r="AV25" i="14"/>
  <c r="AV24" i="14"/>
  <c r="AW24" i="14"/>
  <c r="AV32" i="14"/>
  <c r="AW32" i="14"/>
  <c r="AV9" i="8"/>
  <c r="AW9" i="8"/>
  <c r="AW22" i="14"/>
  <c r="AV22" i="14"/>
  <c r="AV16" i="8"/>
  <c r="AW16" i="8"/>
  <c r="AW16" i="6"/>
  <c r="AV16" i="6"/>
  <c r="AV20" i="6"/>
  <c r="AW20" i="6"/>
  <c r="AV19" i="8"/>
  <c r="AW19" i="8"/>
  <c r="AW13" i="6"/>
  <c r="AV13" i="6"/>
  <c r="AV35" i="6"/>
  <c r="AW35" i="6"/>
  <c r="AV28" i="6"/>
  <c r="AW28" i="6"/>
  <c r="AW24" i="8"/>
  <c r="AV24" i="8"/>
  <c r="AV21" i="8"/>
  <c r="AW21" i="8"/>
  <c r="AW27" i="8"/>
  <c r="AV27" i="8"/>
  <c r="AW10" i="6"/>
  <c r="AV10" i="6"/>
  <c r="AW17" i="6"/>
  <c r="AV17" i="6"/>
  <c r="AV18" i="6"/>
  <c r="AW18" i="6"/>
  <c r="AW18" i="8"/>
  <c r="AV18" i="8"/>
  <c r="AV17" i="8"/>
  <c r="AW17" i="8"/>
  <c r="AW36" i="8"/>
  <c r="AV36" i="8"/>
  <c r="AV10" i="14"/>
  <c r="AW10" i="14"/>
  <c r="AW37" i="14"/>
  <c r="AV37" i="14"/>
  <c r="AV29" i="14"/>
  <c r="AW29" i="14"/>
  <c r="AV18" i="14"/>
  <c r="AW18" i="14"/>
  <c r="AW23" i="6"/>
  <c r="AV23" i="6"/>
  <c r="AW20" i="8"/>
  <c r="AV20" i="8"/>
  <c r="AW24" i="6"/>
  <c r="AV24" i="6"/>
  <c r="AV33" i="6"/>
  <c r="AW33" i="6"/>
  <c r="AW23" i="8"/>
  <c r="AV23" i="8"/>
  <c r="AV21" i="14"/>
  <c r="AW21" i="14"/>
  <c r="AW23" i="14"/>
  <c r="AV23" i="14"/>
  <c r="AW11" i="6"/>
  <c r="AV11" i="6"/>
  <c r="AV27" i="6"/>
  <c r="AW27" i="6"/>
  <c r="AW34" i="6"/>
  <c r="AV34" i="6"/>
  <c r="AW26" i="8"/>
  <c r="AV26" i="8"/>
  <c r="AV12" i="8"/>
  <c r="AW12" i="8"/>
  <c r="AV35" i="14"/>
  <c r="AW35" i="14"/>
  <c r="AV16" i="14"/>
  <c r="AW16" i="14"/>
  <c r="AV14" i="14"/>
  <c r="AW14" i="14"/>
  <c r="AW12" i="6"/>
  <c r="AV12" i="6"/>
  <c r="AV15" i="6"/>
  <c r="AW15" i="6"/>
  <c r="AW38" i="8"/>
  <c r="AV38" i="8"/>
  <c r="AW22" i="6"/>
  <c r="AV22" i="6"/>
  <c r="AV31" i="8"/>
  <c r="AW31" i="8"/>
  <c r="AV26" i="6"/>
  <c r="AW26" i="6"/>
  <c r="AV11" i="14"/>
  <c r="AW11" i="14"/>
  <c r="AW36" i="14"/>
  <c r="AV36" i="14"/>
  <c r="AV28" i="14"/>
  <c r="AW28" i="14"/>
  <c r="AV37" i="8"/>
  <c r="AW37" i="8"/>
  <c r="AW38" i="14"/>
  <c r="AV38" i="14"/>
  <c r="AW13" i="14"/>
  <c r="AV13" i="14"/>
  <c r="AW38" i="6"/>
  <c r="AV38" i="6"/>
  <c r="AV32" i="8"/>
  <c r="AW32" i="8"/>
  <c r="AV25" i="8"/>
  <c r="AW25" i="8"/>
  <c r="AW37" i="6"/>
  <c r="AV37" i="6"/>
  <c r="AW36" i="6"/>
  <c r="AV36" i="6"/>
  <c r="AW33" i="8"/>
  <c r="AV33" i="8"/>
  <c r="AV15" i="8"/>
  <c r="AW15" i="8"/>
  <c r="AV31" i="14"/>
  <c r="AW31" i="14"/>
  <c r="AW12" i="14"/>
  <c r="AV12" i="14"/>
  <c r="AV33" i="14"/>
  <c r="AW33" i="14"/>
  <c r="AV26" i="14"/>
  <c r="AW26" i="14"/>
  <c r="AW35" i="8"/>
  <c r="AV35" i="8"/>
  <c r="AW14" i="8"/>
  <c r="AV14" i="8"/>
  <c r="AW20" i="14"/>
  <c r="AV20" i="14"/>
  <c r="AW31" i="6"/>
  <c r="AV31" i="6"/>
  <c r="AW13" i="8"/>
  <c r="AV13" i="8"/>
  <c r="AV34" i="14"/>
  <c r="AW34" i="14"/>
  <c r="AV21" i="6"/>
  <c r="AW21" i="6"/>
  <c r="AV19" i="6"/>
  <c r="AW19" i="6"/>
  <c r="AV22" i="8"/>
  <c r="AW22" i="8"/>
  <c r="AW29" i="6"/>
  <c r="AV29" i="6"/>
  <c r="AW9" i="6"/>
  <c r="AV9" i="6"/>
  <c r="AW34" i="8"/>
  <c r="AV34" i="8"/>
  <c r="AW30" i="8"/>
  <c r="AV30" i="8"/>
  <c r="AV17" i="14"/>
  <c r="AW17" i="14"/>
  <c r="AV15" i="14"/>
  <c r="AW15" i="14"/>
  <c r="AV19" i="14"/>
  <c r="AW19" i="14"/>
  <c r="AM7" i="14"/>
  <c r="AN8" i="14"/>
  <c r="AL7" i="13"/>
  <c r="AM8" i="13"/>
  <c r="AM8" i="12"/>
  <c r="AL7" i="12"/>
  <c r="AK30" i="11"/>
  <c r="AK29" i="11"/>
  <c r="AK23" i="11"/>
  <c r="AK18" i="11"/>
  <c r="AK36" i="11"/>
  <c r="AK13" i="11"/>
  <c r="AK27" i="11"/>
  <c r="AK33" i="11"/>
  <c r="AK20" i="11"/>
  <c r="AK19" i="11"/>
  <c r="AK22" i="11"/>
  <c r="AK21" i="11"/>
  <c r="AK17" i="11"/>
  <c r="AK11" i="11"/>
  <c r="AK34" i="11"/>
  <c r="AK26" i="11"/>
  <c r="AK38" i="11"/>
  <c r="AK14" i="11"/>
  <c r="AK25" i="11"/>
  <c r="AK12" i="11"/>
  <c r="AK37" i="11"/>
  <c r="AK32" i="11"/>
  <c r="AK28" i="11"/>
  <c r="AK24" i="11"/>
  <c r="AK9" i="11"/>
  <c r="AK15" i="11"/>
  <c r="AK31" i="11"/>
  <c r="AK10" i="11"/>
  <c r="AK35" i="11"/>
  <c r="AK16" i="11"/>
  <c r="AL7" i="11"/>
  <c r="AM8" i="11"/>
  <c r="AM8" i="10"/>
  <c r="AL7" i="10"/>
  <c r="AM7" i="9"/>
  <c r="AN8" i="9"/>
  <c r="AN7" i="8"/>
  <c r="AO8" i="8"/>
  <c r="AM8" i="7"/>
  <c r="AL7" i="7"/>
  <c r="AL7" i="6"/>
  <c r="AM8" i="6"/>
  <c r="AL7" i="5"/>
  <c r="AM8" i="5"/>
  <c r="AL7" i="4"/>
  <c r="AM8" i="4"/>
  <c r="AI11" i="2"/>
  <c r="AI13" i="2"/>
  <c r="AI15" i="2"/>
  <c r="AI17" i="2"/>
  <c r="AI19" i="2"/>
  <c r="AI21" i="2"/>
  <c r="AI23" i="2"/>
  <c r="AI25" i="2"/>
  <c r="AI27" i="2"/>
  <c r="AI29" i="2"/>
  <c r="AI31" i="2"/>
  <c r="AI22" i="2"/>
  <c r="AI26" i="2"/>
  <c r="AI30" i="2"/>
  <c r="AI18" i="2"/>
  <c r="AI14" i="2"/>
  <c r="AI10" i="2"/>
  <c r="AI9" i="2"/>
  <c r="AI20" i="2"/>
  <c r="AI24" i="2"/>
  <c r="AI28" i="2"/>
  <c r="AI16" i="2"/>
  <c r="AI12" i="2"/>
  <c r="AI34" i="2"/>
  <c r="AI32" i="2"/>
  <c r="AI38" i="2"/>
  <c r="AI33" i="2"/>
  <c r="AI36" i="2"/>
  <c r="AI35" i="2"/>
  <c r="AI37" i="2"/>
  <c r="AK8" i="2"/>
  <c r="AJ7" i="2"/>
  <c r="AW25" i="2" l="1"/>
  <c r="AV25" i="2"/>
  <c r="AV19" i="2"/>
  <c r="AW19" i="2"/>
  <c r="AV29" i="11"/>
  <c r="AW29" i="11"/>
  <c r="AW14" i="11"/>
  <c r="AV14" i="11"/>
  <c r="AV21" i="2"/>
  <c r="AW21" i="2"/>
  <c r="AV10" i="2"/>
  <c r="AW10" i="2"/>
  <c r="AW36" i="2"/>
  <c r="AV36" i="2"/>
  <c r="AW17" i="2"/>
  <c r="AV17" i="2"/>
  <c r="AW15" i="11"/>
  <c r="AV15" i="11"/>
  <c r="AW11" i="11"/>
  <c r="AV11" i="11"/>
  <c r="AW15" i="2"/>
  <c r="AV15" i="2"/>
  <c r="AW17" i="11"/>
  <c r="AV17" i="11"/>
  <c r="AV30" i="11"/>
  <c r="AW30" i="11"/>
  <c r="AW20" i="2"/>
  <c r="AV20" i="2"/>
  <c r="AW16" i="11"/>
  <c r="AV16" i="11"/>
  <c r="AV13" i="11"/>
  <c r="AW13" i="11"/>
  <c r="AV23" i="2"/>
  <c r="AW23" i="2"/>
  <c r="AW38" i="11"/>
  <c r="AV38" i="11"/>
  <c r="AV37" i="2"/>
  <c r="AW37" i="2"/>
  <c r="AW10" i="11"/>
  <c r="AV10" i="11"/>
  <c r="AV18" i="11"/>
  <c r="AW18" i="11"/>
  <c r="AV34" i="11"/>
  <c r="AW34" i="11"/>
  <c r="AW23" i="11"/>
  <c r="AV23" i="11"/>
  <c r="AW14" i="2"/>
  <c r="AV14" i="2"/>
  <c r="AW38" i="2"/>
  <c r="AV38" i="2"/>
  <c r="AV24" i="11"/>
  <c r="AW24" i="11"/>
  <c r="AW21" i="11"/>
  <c r="AV21" i="11"/>
  <c r="AW32" i="2"/>
  <c r="AV32" i="2"/>
  <c r="AV26" i="2"/>
  <c r="AW26" i="2"/>
  <c r="AV11" i="2"/>
  <c r="AW11" i="2"/>
  <c r="AV28" i="11"/>
  <c r="AW28" i="11"/>
  <c r="AV22" i="11"/>
  <c r="AW22" i="11"/>
  <c r="AV9" i="2"/>
  <c r="AW9" i="2"/>
  <c r="AV31" i="11"/>
  <c r="AW31" i="11"/>
  <c r="AV33" i="2"/>
  <c r="AW33" i="2"/>
  <c r="AW18" i="2"/>
  <c r="AV18" i="2"/>
  <c r="AW9" i="11"/>
  <c r="AV9" i="11"/>
  <c r="AV30" i="2"/>
  <c r="AW30" i="2"/>
  <c r="AV13" i="2"/>
  <c r="AW13" i="2"/>
  <c r="AW34" i="2"/>
  <c r="AV34" i="2"/>
  <c r="AW22" i="2"/>
  <c r="AV22" i="2"/>
  <c r="AV32" i="11"/>
  <c r="AW32" i="11"/>
  <c r="AV19" i="11"/>
  <c r="AW19" i="11"/>
  <c r="AV12" i="2"/>
  <c r="AW12" i="2"/>
  <c r="AV31" i="2"/>
  <c r="AW31" i="2"/>
  <c r="AW24" i="2"/>
  <c r="AV24" i="2"/>
  <c r="AV35" i="11"/>
  <c r="AW35" i="11"/>
  <c r="AW26" i="11"/>
  <c r="AV26" i="11"/>
  <c r="AV35" i="2"/>
  <c r="AW35" i="2"/>
  <c r="AV37" i="11"/>
  <c r="AW37" i="11"/>
  <c r="AW20" i="11"/>
  <c r="AV20" i="11"/>
  <c r="AV16" i="2"/>
  <c r="AW16" i="2"/>
  <c r="AV29" i="2"/>
  <c r="AW29" i="2"/>
  <c r="AV12" i="11"/>
  <c r="AW12" i="11"/>
  <c r="AV33" i="11"/>
  <c r="AW33" i="11"/>
  <c r="AW36" i="11"/>
  <c r="AV36" i="11"/>
  <c r="AV28" i="2"/>
  <c r="AW28" i="2"/>
  <c r="AV27" i="2"/>
  <c r="AW27" i="2"/>
  <c r="AW25" i="11"/>
  <c r="AV25" i="11"/>
  <c r="AV27" i="11"/>
  <c r="AW27" i="11"/>
  <c r="AN7" i="14"/>
  <c r="AO8" i="14"/>
  <c r="AM7" i="13"/>
  <c r="AN8" i="13"/>
  <c r="AM7" i="12"/>
  <c r="AN8" i="12"/>
  <c r="AM7" i="11"/>
  <c r="AN8" i="11"/>
  <c r="AN8" i="10"/>
  <c r="AM7" i="10"/>
  <c r="AN7" i="9"/>
  <c r="AO8" i="9"/>
  <c r="AO7" i="8"/>
  <c r="J10" i="8" s="1"/>
  <c r="AY10" i="8" s="1"/>
  <c r="AN8" i="7"/>
  <c r="AM7" i="7"/>
  <c r="AM7" i="6"/>
  <c r="AN8" i="6"/>
  <c r="AM7" i="5"/>
  <c r="AN8" i="5"/>
  <c r="AN8" i="4"/>
  <c r="AM7" i="4"/>
  <c r="AL8" i="2"/>
  <c r="AK7" i="2"/>
  <c r="AO7" i="14" l="1"/>
  <c r="J10" i="14" s="1"/>
  <c r="AY10" i="14" s="1"/>
  <c r="AN7" i="13"/>
  <c r="AO8" i="13"/>
  <c r="AM38" i="13"/>
  <c r="AM36" i="13"/>
  <c r="AM34" i="13"/>
  <c r="AM32" i="13"/>
  <c r="AM30" i="13"/>
  <c r="AM28" i="13"/>
  <c r="AM26" i="13"/>
  <c r="AM24" i="13"/>
  <c r="AM22" i="13"/>
  <c r="AM20" i="13"/>
  <c r="AM29" i="13"/>
  <c r="AM15" i="13"/>
  <c r="AM33" i="13"/>
  <c r="AM27" i="13"/>
  <c r="AM21" i="13"/>
  <c r="AM31" i="13"/>
  <c r="AM14" i="13"/>
  <c r="AM35" i="13"/>
  <c r="AM16" i="13"/>
  <c r="AM11" i="13"/>
  <c r="AM9" i="13"/>
  <c r="AM18" i="13"/>
  <c r="AM25" i="13"/>
  <c r="AM12" i="13"/>
  <c r="AM13" i="13"/>
  <c r="AM19" i="13"/>
  <c r="AM37" i="13"/>
  <c r="AM17" i="13"/>
  <c r="AM23" i="13"/>
  <c r="AM10" i="13"/>
  <c r="AO8" i="12"/>
  <c r="AN7" i="12"/>
  <c r="AN7" i="11"/>
  <c r="AO8" i="11"/>
  <c r="AN7" i="10"/>
  <c r="AO8" i="10"/>
  <c r="AO7" i="9"/>
  <c r="J10" i="9" s="1"/>
  <c r="AY10" i="9" s="1"/>
  <c r="J9" i="8"/>
  <c r="AY9" i="8" s="1"/>
  <c r="AO8" i="7"/>
  <c r="AN7" i="7"/>
  <c r="AO8" i="6"/>
  <c r="AN7" i="6"/>
  <c r="AN7" i="5"/>
  <c r="AO8" i="5"/>
  <c r="AM38" i="5"/>
  <c r="AM36" i="5"/>
  <c r="AM34" i="5"/>
  <c r="AM32" i="5"/>
  <c r="AM30" i="5"/>
  <c r="AM28" i="5"/>
  <c r="AM26" i="5"/>
  <c r="AM24" i="5"/>
  <c r="AM22" i="5"/>
  <c r="AM20" i="5"/>
  <c r="AM18" i="5"/>
  <c r="AM16" i="5"/>
  <c r="AM37" i="5"/>
  <c r="AM12" i="5"/>
  <c r="AM9" i="5"/>
  <c r="AM23" i="5"/>
  <c r="AM29" i="5"/>
  <c r="AM15" i="5"/>
  <c r="AM17" i="5"/>
  <c r="AM10" i="5"/>
  <c r="AM35" i="5"/>
  <c r="AM19" i="5"/>
  <c r="AM13" i="5"/>
  <c r="AM21" i="5"/>
  <c r="AM14" i="5"/>
  <c r="AM33" i="5"/>
  <c r="AM27" i="5"/>
  <c r="AM31" i="5"/>
  <c r="AM25" i="5"/>
  <c r="AM11" i="5"/>
  <c r="AO8" i="4"/>
  <c r="AN7" i="4"/>
  <c r="AM8" i="2"/>
  <c r="AN8" i="2" s="1"/>
  <c r="AO8" i="2" s="1"/>
  <c r="AL7" i="2"/>
  <c r="AW19" i="5" l="1"/>
  <c r="AV19" i="5"/>
  <c r="AV16" i="13"/>
  <c r="AW16" i="13"/>
  <c r="AV35" i="5"/>
  <c r="AW35" i="5"/>
  <c r="AV22" i="5"/>
  <c r="AW22" i="5"/>
  <c r="AW10" i="13"/>
  <c r="AV10" i="13"/>
  <c r="AV35" i="13"/>
  <c r="AW35" i="13"/>
  <c r="AV28" i="13"/>
  <c r="AW28" i="13"/>
  <c r="AV10" i="5"/>
  <c r="AW10" i="5"/>
  <c r="AV24" i="5"/>
  <c r="AW24" i="5"/>
  <c r="AV14" i="5"/>
  <c r="AW14" i="5"/>
  <c r="AV38" i="5"/>
  <c r="AW38" i="5"/>
  <c r="AV16" i="5"/>
  <c r="AW16" i="5"/>
  <c r="AV26" i="13"/>
  <c r="AW26" i="13"/>
  <c r="AW23" i="13"/>
  <c r="AV23" i="13"/>
  <c r="AW14" i="13"/>
  <c r="AV14" i="13"/>
  <c r="AV30" i="13"/>
  <c r="AW30" i="13"/>
  <c r="AW17" i="5"/>
  <c r="AV17" i="5"/>
  <c r="AW26" i="5"/>
  <c r="AV26" i="5"/>
  <c r="AW17" i="13"/>
  <c r="AV17" i="13"/>
  <c r="AV31" i="13"/>
  <c r="AW31" i="13"/>
  <c r="AW32" i="13"/>
  <c r="AV32" i="13"/>
  <c r="AV11" i="5"/>
  <c r="AW11" i="5"/>
  <c r="AV15" i="5"/>
  <c r="AW15" i="5"/>
  <c r="AW28" i="5"/>
  <c r="AV28" i="5"/>
  <c r="AV37" i="13"/>
  <c r="AW37" i="13"/>
  <c r="AV21" i="13"/>
  <c r="AW21" i="13"/>
  <c r="AV34" i="13"/>
  <c r="AW34" i="13"/>
  <c r="AW25" i="5"/>
  <c r="AV25" i="5"/>
  <c r="AW29" i="5"/>
  <c r="AV29" i="5"/>
  <c r="AV30" i="5"/>
  <c r="AW30" i="5"/>
  <c r="AW19" i="13"/>
  <c r="AV19" i="13"/>
  <c r="AV27" i="13"/>
  <c r="AW27" i="13"/>
  <c r="AW36" i="13"/>
  <c r="AV36" i="13"/>
  <c r="AW24" i="13"/>
  <c r="AV24" i="13"/>
  <c r="AV31" i="5"/>
  <c r="AW31" i="5"/>
  <c r="AV32" i="5"/>
  <c r="AW32" i="5"/>
  <c r="AV37" i="5"/>
  <c r="AW37" i="5"/>
  <c r="AW21" i="5"/>
  <c r="AV21" i="5"/>
  <c r="AV9" i="13"/>
  <c r="AW9" i="13"/>
  <c r="AW13" i="5"/>
  <c r="AV13" i="5"/>
  <c r="AV18" i="5"/>
  <c r="AW18" i="5"/>
  <c r="AV11" i="13"/>
  <c r="AW11" i="13"/>
  <c r="AW20" i="5"/>
  <c r="AV20" i="5"/>
  <c r="AV23" i="5"/>
  <c r="AW23" i="5"/>
  <c r="AW13" i="13"/>
  <c r="AV13" i="13"/>
  <c r="AW33" i="13"/>
  <c r="AV33" i="13"/>
  <c r="AW38" i="13"/>
  <c r="AV38" i="13"/>
  <c r="AV27" i="5"/>
  <c r="AW27" i="5"/>
  <c r="AW9" i="5"/>
  <c r="AV9" i="5"/>
  <c r="AV34" i="5"/>
  <c r="AW34" i="5"/>
  <c r="AW12" i="13"/>
  <c r="AV12" i="13"/>
  <c r="AW15" i="13"/>
  <c r="AV15" i="13"/>
  <c r="AV22" i="13"/>
  <c r="AW22" i="13"/>
  <c r="AV33" i="5"/>
  <c r="AW33" i="5"/>
  <c r="AV12" i="5"/>
  <c r="AW12" i="5"/>
  <c r="AW36" i="5"/>
  <c r="AV36" i="5"/>
  <c r="AV25" i="13"/>
  <c r="AW25" i="13"/>
  <c r="AV29" i="13"/>
  <c r="AW29" i="13"/>
  <c r="AV18" i="13"/>
  <c r="AW18" i="13"/>
  <c r="AV20" i="13"/>
  <c r="AW20" i="13"/>
  <c r="J9" i="14"/>
  <c r="AY9" i="14" s="1"/>
  <c r="AO7" i="13"/>
  <c r="J10" i="13" s="1"/>
  <c r="AY10" i="13" s="1"/>
  <c r="AO7" i="12"/>
  <c r="J10" i="12" s="1"/>
  <c r="AY10" i="12" s="1"/>
  <c r="AO7" i="11"/>
  <c r="J10" i="11" s="1"/>
  <c r="AY10" i="11" s="1"/>
  <c r="AO7" i="10"/>
  <c r="J10" i="10" s="1"/>
  <c r="AY10" i="10" s="1"/>
  <c r="AN30" i="10"/>
  <c r="AN29" i="10"/>
  <c r="AN25" i="10"/>
  <c r="AN15" i="10"/>
  <c r="AN9" i="10"/>
  <c r="AN34" i="10"/>
  <c r="AN18" i="10"/>
  <c r="AN17" i="10"/>
  <c r="AN16" i="10"/>
  <c r="AN20" i="10"/>
  <c r="AN13" i="10"/>
  <c r="AN22" i="10"/>
  <c r="AN14" i="10"/>
  <c r="AN38" i="10"/>
  <c r="AN11" i="10"/>
  <c r="AN33" i="10"/>
  <c r="AN31" i="10"/>
  <c r="AN27" i="10"/>
  <c r="AN36" i="10"/>
  <c r="AN37" i="10"/>
  <c r="AN28" i="10"/>
  <c r="AN12" i="10"/>
  <c r="AN26" i="10"/>
  <c r="AN10" i="10"/>
  <c r="AN23" i="10"/>
  <c r="AN19" i="10"/>
  <c r="AN35" i="10"/>
  <c r="AN32" i="10"/>
  <c r="AN24" i="10"/>
  <c r="AN21" i="10"/>
  <c r="J9" i="9"/>
  <c r="AY9" i="9" s="1"/>
  <c r="J12" i="8"/>
  <c r="AY12" i="8" s="1"/>
  <c r="AX10" i="8"/>
  <c r="AX19" i="8"/>
  <c r="J21" i="8"/>
  <c r="AY21" i="8" s="1"/>
  <c r="J20" i="8"/>
  <c r="AY20" i="8" s="1"/>
  <c r="AX18" i="8"/>
  <c r="AX15" i="8"/>
  <c r="J17" i="8"/>
  <c r="AY17" i="8" s="1"/>
  <c r="AX38" i="8"/>
  <c r="AX26" i="8"/>
  <c r="J28" i="8"/>
  <c r="AY28" i="8" s="1"/>
  <c r="J11" i="8"/>
  <c r="AY11" i="8" s="1"/>
  <c r="AX9" i="8"/>
  <c r="AX16" i="8"/>
  <c r="J18" i="8"/>
  <c r="AY18" i="8" s="1"/>
  <c r="J26" i="8"/>
  <c r="AY26" i="8" s="1"/>
  <c r="AX24" i="8"/>
  <c r="AX17" i="8"/>
  <c r="J19" i="8"/>
  <c r="AY19" i="8" s="1"/>
  <c r="AX20" i="8"/>
  <c r="J22" i="8"/>
  <c r="AY22" i="8" s="1"/>
  <c r="J36" i="8"/>
  <c r="AY36" i="8" s="1"/>
  <c r="AX34" i="8"/>
  <c r="AX36" i="8"/>
  <c r="J38" i="8"/>
  <c r="AY38" i="8" s="1"/>
  <c r="AX22" i="8"/>
  <c r="J24" i="8"/>
  <c r="AY24" i="8" s="1"/>
  <c r="AX32" i="8"/>
  <c r="J34" i="8"/>
  <c r="AY34" i="8" s="1"/>
  <c r="AX27" i="8"/>
  <c r="J29" i="8"/>
  <c r="AY29" i="8" s="1"/>
  <c r="AX23" i="8"/>
  <c r="J25" i="8"/>
  <c r="AY25" i="8" s="1"/>
  <c r="J35" i="8"/>
  <c r="AY35" i="8" s="1"/>
  <c r="AX33" i="8"/>
  <c r="AX14" i="8"/>
  <c r="J16" i="8"/>
  <c r="AY16" i="8" s="1"/>
  <c r="AX29" i="8"/>
  <c r="J31" i="8"/>
  <c r="AY31" i="8" s="1"/>
  <c r="AX37" i="8"/>
  <c r="J30" i="8"/>
  <c r="AY30" i="8" s="1"/>
  <c r="AX28" i="8"/>
  <c r="AX35" i="8"/>
  <c r="J37" i="8"/>
  <c r="AY37" i="8" s="1"/>
  <c r="J33" i="8"/>
  <c r="AY33" i="8" s="1"/>
  <c r="AX31" i="8"/>
  <c r="AX21" i="8"/>
  <c r="J23" i="8"/>
  <c r="AY23" i="8" s="1"/>
  <c r="AX11" i="8"/>
  <c r="J13" i="8"/>
  <c r="AY13" i="8" s="1"/>
  <c r="AX25" i="8"/>
  <c r="J27" i="8"/>
  <c r="AY27" i="8" s="1"/>
  <c r="AX12" i="8"/>
  <c r="J14" i="8"/>
  <c r="AY14" i="8" s="1"/>
  <c r="J15" i="8"/>
  <c r="AY15" i="8" s="1"/>
  <c r="AX13" i="8"/>
  <c r="AX30" i="8"/>
  <c r="J32" i="8"/>
  <c r="AY32" i="8" s="1"/>
  <c r="AO7" i="7"/>
  <c r="J10" i="7" s="1"/>
  <c r="AY10" i="7" s="1"/>
  <c r="AO7" i="6"/>
  <c r="J10" i="6" s="1"/>
  <c r="AY10" i="6" s="1"/>
  <c r="AO7" i="5"/>
  <c r="J10" i="5"/>
  <c r="AY10" i="5" s="1"/>
  <c r="AO7" i="4"/>
  <c r="J10" i="4" s="1"/>
  <c r="AY10" i="4" s="1"/>
  <c r="AM7" i="2"/>
  <c r="AW32" i="10" l="1"/>
  <c r="AV32" i="10"/>
  <c r="AV33" i="10"/>
  <c r="AW33" i="10"/>
  <c r="AV15" i="10"/>
  <c r="AW15" i="10"/>
  <c r="AW25" i="10"/>
  <c r="AV25" i="10"/>
  <c r="AV29" i="10"/>
  <c r="AW29" i="10"/>
  <c r="AW23" i="10"/>
  <c r="AV23" i="10"/>
  <c r="AW30" i="10"/>
  <c r="AV30" i="10"/>
  <c r="AW11" i="10"/>
  <c r="AV11" i="10"/>
  <c r="AV19" i="10"/>
  <c r="AW19" i="10"/>
  <c r="AW38" i="10"/>
  <c r="AV38" i="10"/>
  <c r="AW14" i="10"/>
  <c r="AV14" i="10"/>
  <c r="AW10" i="10"/>
  <c r="AV10" i="10"/>
  <c r="AW22" i="10"/>
  <c r="AV22" i="10"/>
  <c r="AV31" i="10"/>
  <c r="AW31" i="10"/>
  <c r="AV26" i="10"/>
  <c r="AW26" i="10"/>
  <c r="AV13" i="10"/>
  <c r="AW13" i="10"/>
  <c r="AW9" i="10"/>
  <c r="AV9" i="10"/>
  <c r="AW12" i="10"/>
  <c r="AV12" i="10"/>
  <c r="AV20" i="10"/>
  <c r="AW20" i="10"/>
  <c r="AW28" i="10"/>
  <c r="AV28" i="10"/>
  <c r="AV16" i="10"/>
  <c r="AW16" i="10"/>
  <c r="AW24" i="10"/>
  <c r="AV24" i="10"/>
  <c r="AV35" i="10"/>
  <c r="AW35" i="10"/>
  <c r="AV37" i="10"/>
  <c r="AW37" i="10"/>
  <c r="AV17" i="10"/>
  <c r="AW17" i="10"/>
  <c r="AV36" i="10"/>
  <c r="AW36" i="10"/>
  <c r="AW18" i="10"/>
  <c r="AV18" i="10"/>
  <c r="AV21" i="10"/>
  <c r="AW21" i="10"/>
  <c r="AV27" i="10"/>
  <c r="AW27" i="10"/>
  <c r="AV34" i="10"/>
  <c r="AW34" i="10"/>
  <c r="J28" i="14"/>
  <c r="AY28" i="14" s="1"/>
  <c r="AX26" i="14"/>
  <c r="AX35" i="14"/>
  <c r="J37" i="14"/>
  <c r="AY37" i="14" s="1"/>
  <c r="AX37" i="14"/>
  <c r="AX9" i="14"/>
  <c r="J11" i="14"/>
  <c r="AY11" i="14" s="1"/>
  <c r="AX11" i="14"/>
  <c r="J13" i="14"/>
  <c r="AY13" i="14" s="1"/>
  <c r="AX16" i="14"/>
  <c r="J18" i="14"/>
  <c r="AY18" i="14" s="1"/>
  <c r="AX29" i="14"/>
  <c r="J31" i="14"/>
  <c r="AY31" i="14" s="1"/>
  <c r="AX34" i="14"/>
  <c r="J36" i="14"/>
  <c r="AY36" i="14" s="1"/>
  <c r="J33" i="14"/>
  <c r="AY33" i="14" s="1"/>
  <c r="AX31" i="14"/>
  <c r="J27" i="14"/>
  <c r="AY27" i="14" s="1"/>
  <c r="AX25" i="14"/>
  <c r="J32" i="14"/>
  <c r="AY32" i="14" s="1"/>
  <c r="AX30" i="14"/>
  <c r="AX12" i="14"/>
  <c r="J14" i="14"/>
  <c r="AY14" i="14" s="1"/>
  <c r="J29" i="14"/>
  <c r="AY29" i="14" s="1"/>
  <c r="AX27" i="14"/>
  <c r="J25" i="14"/>
  <c r="AY25" i="14" s="1"/>
  <c r="AX23" i="14"/>
  <c r="J30" i="14"/>
  <c r="AY30" i="14" s="1"/>
  <c r="AX28" i="14"/>
  <c r="AX38" i="14"/>
  <c r="AX19" i="14"/>
  <c r="J21" i="14"/>
  <c r="AY21" i="14" s="1"/>
  <c r="AX10" i="14"/>
  <c r="J12" i="14"/>
  <c r="AY12" i="14" s="1"/>
  <c r="AX24" i="14"/>
  <c r="J26" i="14"/>
  <c r="AY26" i="14" s="1"/>
  <c r="J15" i="14"/>
  <c r="AY15" i="14" s="1"/>
  <c r="AX13" i="14"/>
  <c r="J38" i="14"/>
  <c r="AY38" i="14" s="1"/>
  <c r="AX36" i="14"/>
  <c r="J16" i="14"/>
  <c r="AY16" i="14" s="1"/>
  <c r="AX14" i="14"/>
  <c r="J19" i="14"/>
  <c r="AY19" i="14" s="1"/>
  <c r="AX17" i="14"/>
  <c r="J20" i="14"/>
  <c r="AY20" i="14" s="1"/>
  <c r="AX18" i="14"/>
  <c r="AX33" i="14"/>
  <c r="J35" i="14"/>
  <c r="AY35" i="14" s="1"/>
  <c r="AX22" i="14"/>
  <c r="J24" i="14"/>
  <c r="AY24" i="14" s="1"/>
  <c r="AX15" i="14"/>
  <c r="J17" i="14"/>
  <c r="AY17" i="14" s="1"/>
  <c r="AX20" i="14"/>
  <c r="J22" i="14"/>
  <c r="AY22" i="14" s="1"/>
  <c r="AX21" i="14"/>
  <c r="J23" i="14"/>
  <c r="AY23" i="14" s="1"/>
  <c r="J34" i="14"/>
  <c r="AY34" i="14" s="1"/>
  <c r="AX32" i="14"/>
  <c r="J9" i="13"/>
  <c r="AY9" i="13" s="1"/>
  <c r="J9" i="12"/>
  <c r="AY9" i="12" s="1"/>
  <c r="J9" i="11"/>
  <c r="AY9" i="11" s="1"/>
  <c r="J9" i="10"/>
  <c r="AY9" i="10" s="1"/>
  <c r="J28" i="9"/>
  <c r="AY28" i="9" s="1"/>
  <c r="AX26" i="9"/>
  <c r="J38" i="9"/>
  <c r="AY38" i="9" s="1"/>
  <c r="AX36" i="9"/>
  <c r="J17" i="9"/>
  <c r="AY17" i="9" s="1"/>
  <c r="AX15" i="9"/>
  <c r="AX37" i="9"/>
  <c r="AX22" i="9"/>
  <c r="J24" i="9"/>
  <c r="AY24" i="9" s="1"/>
  <c r="J16" i="9"/>
  <c r="AY16" i="9" s="1"/>
  <c r="AX14" i="9"/>
  <c r="J14" i="9"/>
  <c r="AY14" i="9" s="1"/>
  <c r="AX12" i="9"/>
  <c r="J22" i="9"/>
  <c r="AY22" i="9" s="1"/>
  <c r="AX20" i="9"/>
  <c r="J29" i="9"/>
  <c r="AY29" i="9" s="1"/>
  <c r="AX27" i="9"/>
  <c r="J35" i="9"/>
  <c r="AY35" i="9" s="1"/>
  <c r="AX33" i="9"/>
  <c r="J20" i="9"/>
  <c r="AY20" i="9" s="1"/>
  <c r="AX18" i="9"/>
  <c r="AX32" i="9"/>
  <c r="J34" i="9"/>
  <c r="AY34" i="9" s="1"/>
  <c r="J19" i="9"/>
  <c r="AY19" i="9" s="1"/>
  <c r="AX17" i="9"/>
  <c r="J15" i="9"/>
  <c r="AY15" i="9" s="1"/>
  <c r="AX13" i="9"/>
  <c r="J37" i="9"/>
  <c r="AY37" i="9" s="1"/>
  <c r="AX35" i="9"/>
  <c r="J11" i="9"/>
  <c r="AY11" i="9" s="1"/>
  <c r="AX9" i="9"/>
  <c r="J18" i="9"/>
  <c r="AY18" i="9" s="1"/>
  <c r="AX16" i="9"/>
  <c r="AX10" i="9"/>
  <c r="J12" i="9"/>
  <c r="AY12" i="9" s="1"/>
  <c r="J13" i="9"/>
  <c r="AY13" i="9" s="1"/>
  <c r="AX11" i="9"/>
  <c r="AX38" i="9"/>
  <c r="AX19" i="9"/>
  <c r="J21" i="9"/>
  <c r="AY21" i="9" s="1"/>
  <c r="J23" i="9"/>
  <c r="AY23" i="9" s="1"/>
  <c r="AX21" i="9"/>
  <c r="AX28" i="9"/>
  <c r="J30" i="9"/>
  <c r="AY30" i="9" s="1"/>
  <c r="AX24" i="9"/>
  <c r="J26" i="9"/>
  <c r="AY26" i="9" s="1"/>
  <c r="J27" i="9"/>
  <c r="AY27" i="9" s="1"/>
  <c r="AX25" i="9"/>
  <c r="J32" i="9"/>
  <c r="AY32" i="9" s="1"/>
  <c r="AX30" i="9"/>
  <c r="J31" i="9"/>
  <c r="AY31" i="9" s="1"/>
  <c r="AX29" i="9"/>
  <c r="J25" i="9"/>
  <c r="AY25" i="9" s="1"/>
  <c r="AX23" i="9"/>
  <c r="J33" i="9"/>
  <c r="AY33" i="9" s="1"/>
  <c r="AX31" i="9"/>
  <c r="J36" i="9"/>
  <c r="AY36" i="9" s="1"/>
  <c r="AX34" i="9"/>
  <c r="BA14" i="8"/>
  <c r="BD14" i="8"/>
  <c r="BE14" i="8" s="1"/>
  <c r="BA9" i="8"/>
  <c r="BD9" i="8"/>
  <c r="BE9" i="8" s="1"/>
  <c r="BA18" i="8"/>
  <c r="BD18" i="8"/>
  <c r="BE18" i="8" s="1"/>
  <c r="BA31" i="8"/>
  <c r="BD31" i="8"/>
  <c r="BE31" i="8" s="1"/>
  <c r="BA33" i="8"/>
  <c r="BD33" i="8"/>
  <c r="BE33" i="8" s="1"/>
  <c r="BA30" i="8"/>
  <c r="BD30" i="8"/>
  <c r="BE30" i="8" s="1"/>
  <c r="BA25" i="8"/>
  <c r="BD25" i="8"/>
  <c r="BE25" i="8" s="1"/>
  <c r="BA26" i="8"/>
  <c r="BD26" i="8"/>
  <c r="BE26" i="8" s="1"/>
  <c r="BA23" i="8"/>
  <c r="BD23" i="8"/>
  <c r="BE23" i="8" s="1"/>
  <c r="BA13" i="8"/>
  <c r="BD13" i="8"/>
  <c r="BE13" i="8" s="1"/>
  <c r="BA35" i="8"/>
  <c r="BD35" i="8"/>
  <c r="BE35" i="8" s="1"/>
  <c r="BA29" i="8"/>
  <c r="BD29" i="8"/>
  <c r="BE29" i="8" s="1"/>
  <c r="BA15" i="8"/>
  <c r="BD15" i="8"/>
  <c r="BE15" i="8" s="1"/>
  <c r="BA21" i="8"/>
  <c r="BD21" i="8"/>
  <c r="BE21" i="8" s="1"/>
  <c r="BA17" i="8"/>
  <c r="BD17" i="8"/>
  <c r="BE17" i="8" s="1"/>
  <c r="BA10" i="8"/>
  <c r="BD10" i="8"/>
  <c r="BE10" i="8" s="1"/>
  <c r="BA32" i="8"/>
  <c r="BD32" i="8"/>
  <c r="BE32" i="8" s="1"/>
  <c r="BA34" i="8"/>
  <c r="BD34" i="8"/>
  <c r="BE34" i="8" s="1"/>
  <c r="BA37" i="8"/>
  <c r="BD37" i="8"/>
  <c r="BE37" i="8" s="1"/>
  <c r="BA24" i="8"/>
  <c r="BD24" i="8"/>
  <c r="BE24" i="8" s="1"/>
  <c r="BA20" i="8"/>
  <c r="BD20" i="8"/>
  <c r="BE20" i="8" s="1"/>
  <c r="BA16" i="8"/>
  <c r="BD16" i="8"/>
  <c r="BE16" i="8" s="1"/>
  <c r="BA38" i="8"/>
  <c r="BD38" i="8"/>
  <c r="BE38" i="8" s="1"/>
  <c r="BA19" i="8"/>
  <c r="BD19" i="8"/>
  <c r="BE19" i="8" s="1"/>
  <c r="BA11" i="8"/>
  <c r="BD11" i="8"/>
  <c r="BE11" i="8" s="1"/>
  <c r="BA22" i="8"/>
  <c r="BD22" i="8"/>
  <c r="BE22" i="8" s="1"/>
  <c r="BA12" i="8"/>
  <c r="BD12" i="8"/>
  <c r="BE12" i="8" s="1"/>
  <c r="BA28" i="8"/>
  <c r="BD28" i="8"/>
  <c r="BE28" i="8" s="1"/>
  <c r="BA27" i="8"/>
  <c r="BD27" i="8"/>
  <c r="BE27" i="8" s="1"/>
  <c r="BA36" i="8"/>
  <c r="BD36" i="8"/>
  <c r="BE36" i="8" s="1"/>
  <c r="AO37" i="7"/>
  <c r="AO34" i="7"/>
  <c r="AO29" i="7"/>
  <c r="AO26" i="7"/>
  <c r="AO21" i="7"/>
  <c r="AO13" i="7"/>
  <c r="AO11" i="7"/>
  <c r="AO12" i="7"/>
  <c r="AO9" i="7"/>
  <c r="AO23" i="7"/>
  <c r="AO22" i="7"/>
  <c r="AO25" i="7"/>
  <c r="AO24" i="7"/>
  <c r="AO31" i="7"/>
  <c r="AO27" i="7"/>
  <c r="AO20" i="7"/>
  <c r="AO38" i="7"/>
  <c r="AO19" i="7"/>
  <c r="AO36" i="7"/>
  <c r="AO33" i="7"/>
  <c r="AO30" i="7"/>
  <c r="AO14" i="7"/>
  <c r="AO28" i="7"/>
  <c r="AO18" i="7"/>
  <c r="AO15" i="7"/>
  <c r="AO10" i="7"/>
  <c r="AO16" i="7"/>
  <c r="AO32" i="7"/>
  <c r="AO35" i="7"/>
  <c r="AO17" i="7"/>
  <c r="J9" i="7"/>
  <c r="AY9" i="7" s="1"/>
  <c r="J9" i="6"/>
  <c r="AY9" i="6" s="1"/>
  <c r="J9" i="5"/>
  <c r="AY9" i="5" s="1"/>
  <c r="J9" i="4"/>
  <c r="AY9" i="4" s="1"/>
  <c r="AO7" i="2"/>
  <c r="AN7" i="2"/>
  <c r="AV23" i="7" l="1"/>
  <c r="AW23" i="7"/>
  <c r="AV22" i="7"/>
  <c r="AW22" i="7"/>
  <c r="AW33" i="7"/>
  <c r="AV33" i="7"/>
  <c r="AW12" i="7"/>
  <c r="AV12" i="7"/>
  <c r="AW36" i="7"/>
  <c r="AV36" i="7"/>
  <c r="AW11" i="7"/>
  <c r="AV11" i="7"/>
  <c r="AW25" i="7"/>
  <c r="AV25" i="7"/>
  <c r="AV28" i="7"/>
  <c r="AW28" i="7"/>
  <c r="AW35" i="7"/>
  <c r="AV35" i="7"/>
  <c r="AV38" i="7"/>
  <c r="AW38" i="7"/>
  <c r="AW21" i="7"/>
  <c r="AV21" i="7"/>
  <c r="AW19" i="7"/>
  <c r="AV19" i="7"/>
  <c r="AV32" i="7"/>
  <c r="AW32" i="7"/>
  <c r="AV29" i="7"/>
  <c r="AW29" i="7"/>
  <c r="AW30" i="7"/>
  <c r="AV30" i="7"/>
  <c r="AW17" i="7"/>
  <c r="AV17" i="7"/>
  <c r="AV13" i="7"/>
  <c r="AW13" i="7"/>
  <c r="AW20" i="7"/>
  <c r="AV20" i="7"/>
  <c r="AW16" i="7"/>
  <c r="AV16" i="7"/>
  <c r="AV27" i="7"/>
  <c r="AW27" i="7"/>
  <c r="AW10" i="7"/>
  <c r="AV10" i="7"/>
  <c r="AW31" i="7"/>
  <c r="AV31" i="7"/>
  <c r="AV34" i="7"/>
  <c r="AW34" i="7"/>
  <c r="AV18" i="7"/>
  <c r="AW18" i="7"/>
  <c r="AV14" i="7"/>
  <c r="AW14" i="7"/>
  <c r="AW9" i="7"/>
  <c r="AV9" i="7"/>
  <c r="AV26" i="7"/>
  <c r="AW26" i="7"/>
  <c r="AV15" i="7"/>
  <c r="AW15" i="7"/>
  <c r="AW24" i="7"/>
  <c r="AV24" i="7"/>
  <c r="AV37" i="7"/>
  <c r="AW37" i="7"/>
  <c r="BA9" i="14"/>
  <c r="BD9" i="14"/>
  <c r="BE9" i="14" s="1"/>
  <c r="BA28" i="14"/>
  <c r="BD28" i="14"/>
  <c r="BE28" i="14" s="1"/>
  <c r="BA37" i="14"/>
  <c r="BD37" i="14"/>
  <c r="BE37" i="14" s="1"/>
  <c r="BA10" i="14"/>
  <c r="BD10" i="14"/>
  <c r="BE10" i="14" s="1"/>
  <c r="BA36" i="14"/>
  <c r="BD36" i="14"/>
  <c r="BE36" i="14" s="1"/>
  <c r="BA12" i="14"/>
  <c r="BD12" i="14"/>
  <c r="BE12" i="14" s="1"/>
  <c r="BA31" i="14"/>
  <c r="BD31" i="14"/>
  <c r="BE31" i="14" s="1"/>
  <c r="BA16" i="14"/>
  <c r="BD16" i="14"/>
  <c r="BE16" i="14" s="1"/>
  <c r="BA18" i="14"/>
  <c r="BD18" i="14"/>
  <c r="BE18" i="14" s="1"/>
  <c r="BA21" i="14"/>
  <c r="BD21" i="14"/>
  <c r="BE21" i="14" s="1"/>
  <c r="BA35" i="14"/>
  <c r="BD35" i="14"/>
  <c r="BE35" i="14" s="1"/>
  <c r="BA23" i="14"/>
  <c r="BD23" i="14"/>
  <c r="BE23" i="14" s="1"/>
  <c r="BD11" i="14"/>
  <c r="BE11" i="14" s="1"/>
  <c r="BA11" i="14"/>
  <c r="BA22" i="14"/>
  <c r="BD22" i="14"/>
  <c r="BE22" i="14" s="1"/>
  <c r="BA13" i="14"/>
  <c r="BD13" i="14"/>
  <c r="BE13" i="14" s="1"/>
  <c r="BA19" i="14"/>
  <c r="BD19" i="14"/>
  <c r="BE19" i="14" s="1"/>
  <c r="BA27" i="14"/>
  <c r="BD27" i="14"/>
  <c r="BE27" i="14" s="1"/>
  <c r="BA26" i="14"/>
  <c r="BD26" i="14"/>
  <c r="BE26" i="14" s="1"/>
  <c r="BA14" i="14"/>
  <c r="BD14" i="14"/>
  <c r="BE14" i="14" s="1"/>
  <c r="BA25" i="14"/>
  <c r="BD25" i="14"/>
  <c r="BE25" i="14" s="1"/>
  <c r="BA29" i="14"/>
  <c r="BD29" i="14"/>
  <c r="BE29" i="14" s="1"/>
  <c r="BA20" i="14"/>
  <c r="BD20" i="14"/>
  <c r="BE20" i="14" s="1"/>
  <c r="BA32" i="14"/>
  <c r="BD32" i="14"/>
  <c r="BE32" i="14" s="1"/>
  <c r="BA15" i="14"/>
  <c r="BD15" i="14"/>
  <c r="BE15" i="14" s="1"/>
  <c r="BA30" i="14"/>
  <c r="BD30" i="14"/>
  <c r="BE30" i="14" s="1"/>
  <c r="BA34" i="14"/>
  <c r="BD34" i="14"/>
  <c r="BE34" i="14" s="1"/>
  <c r="BA17" i="14"/>
  <c r="BD17" i="14"/>
  <c r="BE17" i="14" s="1"/>
  <c r="BA33" i="14"/>
  <c r="BD33" i="14"/>
  <c r="BE33" i="14" s="1"/>
  <c r="BA24" i="14"/>
  <c r="BD24" i="14"/>
  <c r="BE24" i="14" s="1"/>
  <c r="BA38" i="14"/>
  <c r="BD38" i="14"/>
  <c r="BE38" i="14" s="1"/>
  <c r="J11" i="13"/>
  <c r="AY11" i="13" s="1"/>
  <c r="AX9" i="13"/>
  <c r="AX11" i="13"/>
  <c r="J13" i="13"/>
  <c r="AY13" i="13" s="1"/>
  <c r="AX16" i="13"/>
  <c r="J18" i="13"/>
  <c r="AY18" i="13" s="1"/>
  <c r="J24" i="13"/>
  <c r="AY24" i="13" s="1"/>
  <c r="AX22" i="13"/>
  <c r="AX38" i="13"/>
  <c r="J37" i="13"/>
  <c r="AY37" i="13" s="1"/>
  <c r="AX35" i="13"/>
  <c r="AX32" i="13"/>
  <c r="J34" i="13"/>
  <c r="AY34" i="13" s="1"/>
  <c r="J12" i="13"/>
  <c r="AY12" i="13" s="1"/>
  <c r="AX10" i="13"/>
  <c r="AX21" i="13"/>
  <c r="J23" i="13"/>
  <c r="AY23" i="13" s="1"/>
  <c r="AX25" i="13"/>
  <c r="J27" i="13"/>
  <c r="AY27" i="13" s="1"/>
  <c r="J25" i="13"/>
  <c r="AY25" i="13" s="1"/>
  <c r="AX23" i="13"/>
  <c r="AX26" i="13"/>
  <c r="J28" i="13"/>
  <c r="AY28" i="13" s="1"/>
  <c r="J32" i="13"/>
  <c r="AY32" i="13" s="1"/>
  <c r="AX30" i="13"/>
  <c r="AX17" i="13"/>
  <c r="J19" i="13"/>
  <c r="AY19" i="13" s="1"/>
  <c r="AX37" i="13"/>
  <c r="J15" i="13"/>
  <c r="AY15" i="13" s="1"/>
  <c r="AX13" i="13"/>
  <c r="J30" i="13"/>
  <c r="AY30" i="13" s="1"/>
  <c r="AX28" i="13"/>
  <c r="AX15" i="13"/>
  <c r="J17" i="13"/>
  <c r="AY17" i="13" s="1"/>
  <c r="J38" i="13"/>
  <c r="AY38" i="13" s="1"/>
  <c r="AX36" i="13"/>
  <c r="AX12" i="13"/>
  <c r="J14" i="13"/>
  <c r="AY14" i="13" s="1"/>
  <c r="AX29" i="13"/>
  <c r="J31" i="13"/>
  <c r="AY31" i="13" s="1"/>
  <c r="J16" i="13"/>
  <c r="AY16" i="13" s="1"/>
  <c r="AX14" i="13"/>
  <c r="AX33" i="13"/>
  <c r="J35" i="13"/>
  <c r="AY35" i="13" s="1"/>
  <c r="J26" i="13"/>
  <c r="AY26" i="13" s="1"/>
  <c r="AX24" i="13"/>
  <c r="AX20" i="13"/>
  <c r="J22" i="13"/>
  <c r="AY22" i="13" s="1"/>
  <c r="J36" i="13"/>
  <c r="AY36" i="13" s="1"/>
  <c r="AX34" i="13"/>
  <c r="AX19" i="13"/>
  <c r="J21" i="13"/>
  <c r="AY21" i="13" s="1"/>
  <c r="J29" i="13"/>
  <c r="AY29" i="13" s="1"/>
  <c r="AX27" i="13"/>
  <c r="J20" i="13"/>
  <c r="AY20" i="13" s="1"/>
  <c r="AX18" i="13"/>
  <c r="J33" i="13"/>
  <c r="AY33" i="13" s="1"/>
  <c r="AX31" i="13"/>
  <c r="AX38" i="12"/>
  <c r="J16" i="12"/>
  <c r="AY16" i="12" s="1"/>
  <c r="AX14" i="12"/>
  <c r="J21" i="12"/>
  <c r="AY21" i="12" s="1"/>
  <c r="AX19" i="12"/>
  <c r="J34" i="12"/>
  <c r="AY34" i="12" s="1"/>
  <c r="AX32" i="12"/>
  <c r="AX23" i="12"/>
  <c r="J25" i="12"/>
  <c r="AY25" i="12" s="1"/>
  <c r="J33" i="12"/>
  <c r="AY33" i="12" s="1"/>
  <c r="AX31" i="12"/>
  <c r="J36" i="12"/>
  <c r="AY36" i="12" s="1"/>
  <c r="AX34" i="12"/>
  <c r="J24" i="12"/>
  <c r="AY24" i="12" s="1"/>
  <c r="AX22" i="12"/>
  <c r="AX10" i="12"/>
  <c r="J12" i="12"/>
  <c r="AY12" i="12" s="1"/>
  <c r="J15" i="12"/>
  <c r="AY15" i="12" s="1"/>
  <c r="AX13" i="12"/>
  <c r="AX36" i="12"/>
  <c r="J38" i="12"/>
  <c r="AY38" i="12" s="1"/>
  <c r="AX27" i="12"/>
  <c r="J29" i="12"/>
  <c r="AY29" i="12" s="1"/>
  <c r="J26" i="12"/>
  <c r="AY26" i="12" s="1"/>
  <c r="AX24" i="12"/>
  <c r="J19" i="12"/>
  <c r="AY19" i="12" s="1"/>
  <c r="AX17" i="12"/>
  <c r="J37" i="12"/>
  <c r="AY37" i="12" s="1"/>
  <c r="AX35" i="12"/>
  <c r="AX20" i="12"/>
  <c r="J22" i="12"/>
  <c r="AY22" i="12" s="1"/>
  <c r="AX18" i="12"/>
  <c r="J20" i="12"/>
  <c r="AY20" i="12" s="1"/>
  <c r="J28" i="12"/>
  <c r="AY28" i="12" s="1"/>
  <c r="AX26" i="12"/>
  <c r="AX11" i="12"/>
  <c r="J13" i="12"/>
  <c r="AY13" i="12" s="1"/>
  <c r="AX16" i="12"/>
  <c r="J18" i="12"/>
  <c r="AY18" i="12" s="1"/>
  <c r="AX37" i="12"/>
  <c r="AX25" i="12"/>
  <c r="J27" i="12"/>
  <c r="AY27" i="12" s="1"/>
  <c r="AX9" i="12"/>
  <c r="J11" i="12"/>
  <c r="AY11" i="12" s="1"/>
  <c r="J30" i="12"/>
  <c r="AY30" i="12" s="1"/>
  <c r="AX28" i="12"/>
  <c r="J23" i="12"/>
  <c r="AY23" i="12" s="1"/>
  <c r="AX21" i="12"/>
  <c r="AX12" i="12"/>
  <c r="J14" i="12"/>
  <c r="AY14" i="12" s="1"/>
  <c r="J31" i="12"/>
  <c r="AY31" i="12" s="1"/>
  <c r="AX29" i="12"/>
  <c r="AX15" i="12"/>
  <c r="J17" i="12"/>
  <c r="AY17" i="12" s="1"/>
  <c r="J35" i="12"/>
  <c r="AY35" i="12" s="1"/>
  <c r="AX33" i="12"/>
  <c r="J32" i="12"/>
  <c r="AY32" i="12" s="1"/>
  <c r="AX30" i="12"/>
  <c r="AX17" i="11"/>
  <c r="J19" i="11"/>
  <c r="AY19" i="11" s="1"/>
  <c r="J27" i="11"/>
  <c r="AY27" i="11" s="1"/>
  <c r="AX25" i="11"/>
  <c r="J33" i="11"/>
  <c r="AY33" i="11" s="1"/>
  <c r="AX31" i="11"/>
  <c r="J14" i="11"/>
  <c r="AY14" i="11" s="1"/>
  <c r="AX12" i="11"/>
  <c r="J36" i="11"/>
  <c r="AY36" i="11" s="1"/>
  <c r="AX34" i="11"/>
  <c r="J30" i="11"/>
  <c r="AY30" i="11" s="1"/>
  <c r="AX28" i="11"/>
  <c r="AX9" i="11"/>
  <c r="J11" i="11"/>
  <c r="AY11" i="11" s="1"/>
  <c r="J13" i="11"/>
  <c r="AY13" i="11" s="1"/>
  <c r="AX11" i="11"/>
  <c r="J26" i="11"/>
  <c r="AY26" i="11" s="1"/>
  <c r="AX24" i="11"/>
  <c r="J38" i="11"/>
  <c r="AY38" i="11" s="1"/>
  <c r="AX36" i="11"/>
  <c r="AX38" i="11"/>
  <c r="J16" i="11"/>
  <c r="AY16" i="11" s="1"/>
  <c r="AX14" i="11"/>
  <c r="J23" i="11"/>
  <c r="AY23" i="11" s="1"/>
  <c r="AX21" i="11"/>
  <c r="J34" i="11"/>
  <c r="AY34" i="11" s="1"/>
  <c r="AX32" i="11"/>
  <c r="AX10" i="11"/>
  <c r="J12" i="11"/>
  <c r="AY12" i="11" s="1"/>
  <c r="AX19" i="11"/>
  <c r="J21" i="11"/>
  <c r="AY21" i="11" s="1"/>
  <c r="J17" i="11"/>
  <c r="AY17" i="11" s="1"/>
  <c r="AX15" i="11"/>
  <c r="J31" i="11"/>
  <c r="AY31" i="11" s="1"/>
  <c r="AX29" i="11"/>
  <c r="J32" i="11"/>
  <c r="AY32" i="11" s="1"/>
  <c r="AX30" i="11"/>
  <c r="AX35" i="11"/>
  <c r="J37" i="11"/>
  <c r="AY37" i="11" s="1"/>
  <c r="J22" i="11"/>
  <c r="AY22" i="11" s="1"/>
  <c r="AX20" i="11"/>
  <c r="AX37" i="11"/>
  <c r="AX18" i="11"/>
  <c r="J20" i="11"/>
  <c r="AY20" i="11" s="1"/>
  <c r="J24" i="11"/>
  <c r="AY24" i="11" s="1"/>
  <c r="AX22" i="11"/>
  <c r="AX26" i="11"/>
  <c r="J28" i="11"/>
  <c r="AY28" i="11" s="1"/>
  <c r="AX16" i="11"/>
  <c r="J18" i="11"/>
  <c r="AY18" i="11" s="1"/>
  <c r="J25" i="11"/>
  <c r="AY25" i="11" s="1"/>
  <c r="AX23" i="11"/>
  <c r="AX27" i="11"/>
  <c r="J29" i="11"/>
  <c r="AY29" i="11" s="1"/>
  <c r="J15" i="11"/>
  <c r="AY15" i="11" s="1"/>
  <c r="AX13" i="11"/>
  <c r="AX33" i="11"/>
  <c r="J35" i="11"/>
  <c r="AY35" i="11" s="1"/>
  <c r="J15" i="10"/>
  <c r="AY15" i="10" s="1"/>
  <c r="AX13" i="10"/>
  <c r="J20" i="10"/>
  <c r="AY20" i="10" s="1"/>
  <c r="AX18" i="10"/>
  <c r="AX20" i="10"/>
  <c r="J22" i="10"/>
  <c r="AY22" i="10" s="1"/>
  <c r="J24" i="10"/>
  <c r="AY24" i="10" s="1"/>
  <c r="AX22" i="10"/>
  <c r="AX31" i="10"/>
  <c r="J33" i="10"/>
  <c r="AY33" i="10" s="1"/>
  <c r="J35" i="10"/>
  <c r="AY35" i="10" s="1"/>
  <c r="AX33" i="10"/>
  <c r="J18" i="10"/>
  <c r="AY18" i="10" s="1"/>
  <c r="AX16" i="10"/>
  <c r="AX38" i="10"/>
  <c r="J25" i="10"/>
  <c r="AY25" i="10" s="1"/>
  <c r="AX23" i="10"/>
  <c r="J27" i="10"/>
  <c r="AY27" i="10" s="1"/>
  <c r="AX25" i="10"/>
  <c r="AX15" i="10"/>
  <c r="J17" i="10"/>
  <c r="AY17" i="10" s="1"/>
  <c r="AX34" i="10"/>
  <c r="J36" i="10"/>
  <c r="AY36" i="10" s="1"/>
  <c r="J26" i="10"/>
  <c r="AY26" i="10" s="1"/>
  <c r="AX24" i="10"/>
  <c r="J21" i="10"/>
  <c r="AY21" i="10" s="1"/>
  <c r="AX19" i="10"/>
  <c r="J12" i="10"/>
  <c r="AY12" i="10" s="1"/>
  <c r="AX10" i="10"/>
  <c r="J37" i="10"/>
  <c r="AY37" i="10" s="1"/>
  <c r="AX35" i="10"/>
  <c r="J13" i="10"/>
  <c r="AY13" i="10" s="1"/>
  <c r="AX11" i="10"/>
  <c r="AX12" i="10"/>
  <c r="J14" i="10"/>
  <c r="AY14" i="10" s="1"/>
  <c r="AX17" i="10"/>
  <c r="J19" i="10"/>
  <c r="AY19" i="10" s="1"/>
  <c r="AX28" i="10"/>
  <c r="J30" i="10"/>
  <c r="AY30" i="10" s="1"/>
  <c r="AX21" i="10"/>
  <c r="J23" i="10"/>
  <c r="AY23" i="10" s="1"/>
  <c r="J32" i="10"/>
  <c r="AY32" i="10" s="1"/>
  <c r="AX30" i="10"/>
  <c r="J28" i="10"/>
  <c r="AY28" i="10" s="1"/>
  <c r="AX26" i="10"/>
  <c r="J16" i="10"/>
  <c r="AY16" i="10" s="1"/>
  <c r="AX14" i="10"/>
  <c r="J38" i="10"/>
  <c r="AY38" i="10" s="1"/>
  <c r="AX36" i="10"/>
  <c r="AX29" i="10"/>
  <c r="J31" i="10"/>
  <c r="AY31" i="10" s="1"/>
  <c r="J11" i="10"/>
  <c r="AY11" i="10" s="1"/>
  <c r="AX9" i="10"/>
  <c r="J34" i="10"/>
  <c r="AY34" i="10" s="1"/>
  <c r="AX32" i="10"/>
  <c r="J29" i="10"/>
  <c r="AY29" i="10" s="1"/>
  <c r="AX27" i="10"/>
  <c r="AX37" i="10"/>
  <c r="BA14" i="9"/>
  <c r="BD14" i="9"/>
  <c r="BE14" i="9" s="1"/>
  <c r="BA34" i="9"/>
  <c r="BD34" i="9"/>
  <c r="BE34" i="9" s="1"/>
  <c r="BA19" i="9"/>
  <c r="BD19" i="9"/>
  <c r="BE19" i="9" s="1"/>
  <c r="BA18" i="9"/>
  <c r="BD18" i="9"/>
  <c r="BE18" i="9" s="1"/>
  <c r="BA30" i="9"/>
  <c r="BD30" i="9"/>
  <c r="BE30" i="9" s="1"/>
  <c r="BA17" i="9"/>
  <c r="BD17" i="9"/>
  <c r="BE17" i="9" s="1"/>
  <c r="BA21" i="9"/>
  <c r="BD21" i="9"/>
  <c r="BE21" i="9" s="1"/>
  <c r="BA12" i="9"/>
  <c r="BD12" i="9"/>
  <c r="BE12" i="9" s="1"/>
  <c r="BA25" i="9"/>
  <c r="BD25" i="9"/>
  <c r="BE25" i="9" s="1"/>
  <c r="BA9" i="9"/>
  <c r="BD9" i="9"/>
  <c r="BE9" i="9" s="1"/>
  <c r="BA10" i="9"/>
  <c r="BD10" i="9"/>
  <c r="BE10" i="9" s="1"/>
  <c r="BA35" i="9"/>
  <c r="BD35" i="9"/>
  <c r="BE35" i="9" s="1"/>
  <c r="BA27" i="9"/>
  <c r="BD27" i="9"/>
  <c r="BE27" i="9" s="1"/>
  <c r="BA15" i="9"/>
  <c r="BD15" i="9"/>
  <c r="BE15" i="9" s="1"/>
  <c r="BD32" i="9"/>
  <c r="BE32" i="9" s="1"/>
  <c r="BA32" i="9"/>
  <c r="BA36" i="9"/>
  <c r="BD36" i="9"/>
  <c r="BE36" i="9" s="1"/>
  <c r="BD29" i="9"/>
  <c r="BE29" i="9" s="1"/>
  <c r="BA29" i="9"/>
  <c r="BA24" i="9"/>
  <c r="BD24" i="9"/>
  <c r="BE24" i="9" s="1"/>
  <c r="BA22" i="9"/>
  <c r="BD22" i="9"/>
  <c r="BE22" i="9" s="1"/>
  <c r="BA31" i="9"/>
  <c r="BD31" i="9"/>
  <c r="BE31" i="9" s="1"/>
  <c r="BA20" i="9"/>
  <c r="BD20" i="9"/>
  <c r="BE20" i="9" s="1"/>
  <c r="BA28" i="9"/>
  <c r="BD28" i="9"/>
  <c r="BE28" i="9" s="1"/>
  <c r="BA38" i="9"/>
  <c r="BD38" i="9"/>
  <c r="BE38" i="9" s="1"/>
  <c r="BA13" i="9"/>
  <c r="BD13" i="9"/>
  <c r="BE13" i="9" s="1"/>
  <c r="BA16" i="9"/>
  <c r="BD16" i="9"/>
  <c r="BE16" i="9" s="1"/>
  <c r="BA23" i="9"/>
  <c r="BD23" i="9"/>
  <c r="BE23" i="9" s="1"/>
  <c r="BA11" i="9"/>
  <c r="BD11" i="9"/>
  <c r="BE11" i="9" s="1"/>
  <c r="BA33" i="9"/>
  <c r="BD33" i="9"/>
  <c r="BE33" i="9" s="1"/>
  <c r="BA37" i="9"/>
  <c r="BD37" i="9"/>
  <c r="BE37" i="9" s="1"/>
  <c r="BA26" i="9"/>
  <c r="BD26" i="9"/>
  <c r="BE26" i="9" s="1"/>
  <c r="J27" i="7"/>
  <c r="AY27" i="7" s="1"/>
  <c r="AX25" i="7"/>
  <c r="J30" i="7"/>
  <c r="AY30" i="7" s="1"/>
  <c r="AX28" i="7"/>
  <c r="J25" i="7"/>
  <c r="AY25" i="7" s="1"/>
  <c r="AX23" i="7"/>
  <c r="AX9" i="7"/>
  <c r="J11" i="7"/>
  <c r="AY11" i="7" s="1"/>
  <c r="J35" i="7"/>
  <c r="AY35" i="7" s="1"/>
  <c r="AX33" i="7"/>
  <c r="J14" i="7"/>
  <c r="AY14" i="7" s="1"/>
  <c r="AX12" i="7"/>
  <c r="J38" i="7"/>
  <c r="AY38" i="7" s="1"/>
  <c r="AX36" i="7"/>
  <c r="AX18" i="7"/>
  <c r="J20" i="7"/>
  <c r="AY20" i="7" s="1"/>
  <c r="J24" i="7"/>
  <c r="AY24" i="7" s="1"/>
  <c r="AX22" i="7"/>
  <c r="AX14" i="7"/>
  <c r="J16" i="7"/>
  <c r="AY16" i="7" s="1"/>
  <c r="AX30" i="7"/>
  <c r="J32" i="7"/>
  <c r="AY32" i="7" s="1"/>
  <c r="AX11" i="7"/>
  <c r="J13" i="7"/>
  <c r="AY13" i="7" s="1"/>
  <c r="J19" i="7"/>
  <c r="AY19" i="7" s="1"/>
  <c r="AX17" i="7"/>
  <c r="J21" i="7"/>
  <c r="AY21" i="7" s="1"/>
  <c r="AX19" i="7"/>
  <c r="AX13" i="7"/>
  <c r="J15" i="7"/>
  <c r="AY15" i="7" s="1"/>
  <c r="AX35" i="7"/>
  <c r="J37" i="7"/>
  <c r="AY37" i="7" s="1"/>
  <c r="AX38" i="7"/>
  <c r="AX21" i="7"/>
  <c r="J23" i="7"/>
  <c r="AY23" i="7" s="1"/>
  <c r="AX32" i="7"/>
  <c r="J34" i="7"/>
  <c r="AY34" i="7" s="1"/>
  <c r="J22" i="7"/>
  <c r="AY22" i="7" s="1"/>
  <c r="AX20" i="7"/>
  <c r="AX26" i="7"/>
  <c r="J28" i="7"/>
  <c r="AY28" i="7" s="1"/>
  <c r="J18" i="7"/>
  <c r="AY18" i="7" s="1"/>
  <c r="AX16" i="7"/>
  <c r="J29" i="7"/>
  <c r="AY29" i="7" s="1"/>
  <c r="AX27" i="7"/>
  <c r="AX29" i="7"/>
  <c r="J31" i="7"/>
  <c r="AY31" i="7" s="1"/>
  <c r="AX10" i="7"/>
  <c r="J12" i="7"/>
  <c r="AY12" i="7" s="1"/>
  <c r="AX31" i="7"/>
  <c r="J33" i="7"/>
  <c r="AY33" i="7" s="1"/>
  <c r="J36" i="7"/>
  <c r="AY36" i="7" s="1"/>
  <c r="AX34" i="7"/>
  <c r="J17" i="7"/>
  <c r="AY17" i="7" s="1"/>
  <c r="AX15" i="7"/>
  <c r="J26" i="7"/>
  <c r="AY26" i="7" s="1"/>
  <c r="AX24" i="7"/>
  <c r="AX37" i="7"/>
  <c r="AX12" i="6"/>
  <c r="J14" i="6"/>
  <c r="AY14" i="6" s="1"/>
  <c r="J32" i="6"/>
  <c r="AY32" i="6" s="1"/>
  <c r="AX30" i="6"/>
  <c r="AX32" i="6"/>
  <c r="J34" i="6"/>
  <c r="AY34" i="6" s="1"/>
  <c r="AX34" i="6"/>
  <c r="J36" i="6"/>
  <c r="AY36" i="6" s="1"/>
  <c r="J30" i="6"/>
  <c r="AY30" i="6" s="1"/>
  <c r="AX28" i="6"/>
  <c r="AX24" i="6"/>
  <c r="J26" i="6"/>
  <c r="AY26" i="6" s="1"/>
  <c r="J31" i="6"/>
  <c r="AY31" i="6" s="1"/>
  <c r="AX29" i="6"/>
  <c r="AX38" i="6"/>
  <c r="AX36" i="6"/>
  <c r="J38" i="6"/>
  <c r="AY38" i="6" s="1"/>
  <c r="AX14" i="6"/>
  <c r="J16" i="6"/>
  <c r="AY16" i="6" s="1"/>
  <c r="AX16" i="6"/>
  <c r="J18" i="6"/>
  <c r="AY18" i="6" s="1"/>
  <c r="AX19" i="6"/>
  <c r="J21" i="6"/>
  <c r="AY21" i="6" s="1"/>
  <c r="AX25" i="6"/>
  <c r="J27" i="6"/>
  <c r="AY27" i="6" s="1"/>
  <c r="AX9" i="6"/>
  <c r="J11" i="6"/>
  <c r="AY11" i="6" s="1"/>
  <c r="AX10" i="6"/>
  <c r="J12" i="6"/>
  <c r="AY12" i="6" s="1"/>
  <c r="J35" i="6"/>
  <c r="AY35" i="6" s="1"/>
  <c r="AX33" i="6"/>
  <c r="AX11" i="6"/>
  <c r="J13" i="6"/>
  <c r="AY13" i="6" s="1"/>
  <c r="AX15" i="6"/>
  <c r="J17" i="6"/>
  <c r="AY17" i="6" s="1"/>
  <c r="AX35" i="6"/>
  <c r="J37" i="6"/>
  <c r="AY37" i="6" s="1"/>
  <c r="J15" i="6"/>
  <c r="AY15" i="6" s="1"/>
  <c r="AX13" i="6"/>
  <c r="AX18" i="6"/>
  <c r="J20" i="6"/>
  <c r="AY20" i="6" s="1"/>
  <c r="AX37" i="6"/>
  <c r="AX21" i="6"/>
  <c r="J23" i="6"/>
  <c r="AY23" i="6" s="1"/>
  <c r="AX17" i="6"/>
  <c r="J19" i="6"/>
  <c r="AY19" i="6" s="1"/>
  <c r="J22" i="6"/>
  <c r="AY22" i="6" s="1"/>
  <c r="AX20" i="6"/>
  <c r="AX23" i="6"/>
  <c r="J25" i="6"/>
  <c r="AY25" i="6" s="1"/>
  <c r="AX31" i="6"/>
  <c r="J33" i="6"/>
  <c r="AY33" i="6" s="1"/>
  <c r="J29" i="6"/>
  <c r="AY29" i="6" s="1"/>
  <c r="AX27" i="6"/>
  <c r="J24" i="6"/>
  <c r="AY24" i="6" s="1"/>
  <c r="AX22" i="6"/>
  <c r="J28" i="6"/>
  <c r="AY28" i="6" s="1"/>
  <c r="AX26" i="6"/>
  <c r="J15" i="5"/>
  <c r="AY15" i="5" s="1"/>
  <c r="AX13" i="5"/>
  <c r="J20" i="5"/>
  <c r="AY20" i="5" s="1"/>
  <c r="AX18" i="5"/>
  <c r="AX35" i="5"/>
  <c r="J37" i="5"/>
  <c r="AY37" i="5" s="1"/>
  <c r="J36" i="5"/>
  <c r="AY36" i="5" s="1"/>
  <c r="AX34" i="5"/>
  <c r="J17" i="5"/>
  <c r="AY17" i="5" s="1"/>
  <c r="AX15" i="5"/>
  <c r="J22" i="5"/>
  <c r="AY22" i="5" s="1"/>
  <c r="AX20" i="5"/>
  <c r="J27" i="5"/>
  <c r="AY27" i="5" s="1"/>
  <c r="AX25" i="5"/>
  <c r="AX10" i="5"/>
  <c r="J12" i="5"/>
  <c r="AY12" i="5" s="1"/>
  <c r="AX22" i="5"/>
  <c r="J24" i="5"/>
  <c r="AY24" i="5" s="1"/>
  <c r="J23" i="5"/>
  <c r="AY23" i="5" s="1"/>
  <c r="AX21" i="5"/>
  <c r="AX37" i="5"/>
  <c r="AX26" i="5"/>
  <c r="J28" i="5"/>
  <c r="AY28" i="5" s="1"/>
  <c r="AX30" i="5"/>
  <c r="J32" i="5"/>
  <c r="AY32" i="5" s="1"/>
  <c r="J38" i="5"/>
  <c r="AY38" i="5" s="1"/>
  <c r="AX36" i="5"/>
  <c r="J13" i="5"/>
  <c r="AY13" i="5" s="1"/>
  <c r="AX11" i="5"/>
  <c r="J33" i="5"/>
  <c r="AY33" i="5" s="1"/>
  <c r="AX31" i="5"/>
  <c r="J26" i="5"/>
  <c r="AY26" i="5" s="1"/>
  <c r="AX24" i="5"/>
  <c r="J25" i="5"/>
  <c r="AY25" i="5" s="1"/>
  <c r="AX23" i="5"/>
  <c r="J19" i="5"/>
  <c r="AY19" i="5" s="1"/>
  <c r="AX17" i="5"/>
  <c r="AX28" i="5"/>
  <c r="J30" i="5"/>
  <c r="AY30" i="5" s="1"/>
  <c r="J31" i="5"/>
  <c r="AY31" i="5" s="1"/>
  <c r="AX29" i="5"/>
  <c r="J11" i="5"/>
  <c r="AY11" i="5" s="1"/>
  <c r="AX9" i="5"/>
  <c r="AX33" i="5"/>
  <c r="J35" i="5"/>
  <c r="AY35" i="5" s="1"/>
  <c r="AX32" i="5"/>
  <c r="J34" i="5"/>
  <c r="AY34" i="5" s="1"/>
  <c r="J29" i="5"/>
  <c r="AY29" i="5" s="1"/>
  <c r="AX27" i="5"/>
  <c r="AX38" i="5"/>
  <c r="J14" i="5"/>
  <c r="AY14" i="5" s="1"/>
  <c r="AX12" i="5"/>
  <c r="J18" i="5"/>
  <c r="AY18" i="5" s="1"/>
  <c r="AX16" i="5"/>
  <c r="J21" i="5"/>
  <c r="AY21" i="5" s="1"/>
  <c r="AX19" i="5"/>
  <c r="AX14" i="5"/>
  <c r="J16" i="5"/>
  <c r="AY16" i="5" s="1"/>
  <c r="J22" i="4"/>
  <c r="AY22" i="4" s="1"/>
  <c r="AX20" i="4"/>
  <c r="J35" i="4"/>
  <c r="AY35" i="4" s="1"/>
  <c r="AX33" i="4"/>
  <c r="J38" i="4"/>
  <c r="AY38" i="4" s="1"/>
  <c r="AX36" i="4"/>
  <c r="AX15" i="4"/>
  <c r="J17" i="4"/>
  <c r="AY17" i="4" s="1"/>
  <c r="J36" i="4"/>
  <c r="AY36" i="4" s="1"/>
  <c r="AX34" i="4"/>
  <c r="J11" i="4"/>
  <c r="AY11" i="4" s="1"/>
  <c r="AX9" i="4"/>
  <c r="AX21" i="4"/>
  <c r="J23" i="4"/>
  <c r="AY23" i="4" s="1"/>
  <c r="J14" i="4"/>
  <c r="AY14" i="4" s="1"/>
  <c r="AX12" i="4"/>
  <c r="AX32" i="4"/>
  <c r="J34" i="4"/>
  <c r="AY34" i="4" s="1"/>
  <c r="AX23" i="4"/>
  <c r="J25" i="4"/>
  <c r="AY25" i="4" s="1"/>
  <c r="J16" i="4"/>
  <c r="AY16" i="4" s="1"/>
  <c r="AX14" i="4"/>
  <c r="J13" i="4"/>
  <c r="AY13" i="4" s="1"/>
  <c r="AX11" i="4"/>
  <c r="J20" i="4"/>
  <c r="AY20" i="4" s="1"/>
  <c r="AX18" i="4"/>
  <c r="J21" i="4"/>
  <c r="AY21" i="4" s="1"/>
  <c r="AX19" i="4"/>
  <c r="J27" i="4"/>
  <c r="AY27" i="4" s="1"/>
  <c r="AX25" i="4"/>
  <c r="AX13" i="4"/>
  <c r="J15" i="4"/>
  <c r="AY15" i="4" s="1"/>
  <c r="AX24" i="4"/>
  <c r="J26" i="4"/>
  <c r="AY26" i="4" s="1"/>
  <c r="AX31" i="4"/>
  <c r="J33" i="4"/>
  <c r="AY33" i="4" s="1"/>
  <c r="J32" i="4"/>
  <c r="AY32" i="4" s="1"/>
  <c r="AX30" i="4"/>
  <c r="J18" i="4"/>
  <c r="AY18" i="4" s="1"/>
  <c r="AX16" i="4"/>
  <c r="AX38" i="4"/>
  <c r="AX37" i="4"/>
  <c r="J12" i="4"/>
  <c r="AY12" i="4" s="1"/>
  <c r="AX10" i="4"/>
  <c r="J28" i="4"/>
  <c r="AY28" i="4" s="1"/>
  <c r="AX26" i="4"/>
  <c r="J30" i="4"/>
  <c r="AY30" i="4" s="1"/>
  <c r="AX28" i="4"/>
  <c r="AX17" i="4"/>
  <c r="J19" i="4"/>
  <c r="AY19" i="4" s="1"/>
  <c r="J24" i="4"/>
  <c r="AY24" i="4" s="1"/>
  <c r="AX22" i="4"/>
  <c r="AX35" i="4"/>
  <c r="J37" i="4"/>
  <c r="AY37" i="4" s="1"/>
  <c r="J31" i="4"/>
  <c r="AY31" i="4" s="1"/>
  <c r="AX29" i="4"/>
  <c r="J29" i="4"/>
  <c r="AY29" i="4" s="1"/>
  <c r="AX27" i="4"/>
  <c r="J9" i="2"/>
  <c r="AY9" i="2" s="1"/>
  <c r="J10" i="2"/>
  <c r="AY10" i="2" s="1"/>
  <c r="BA30" i="13" l="1"/>
  <c r="BD30" i="13"/>
  <c r="BE30" i="13" s="1"/>
  <c r="BA26" i="13"/>
  <c r="BD26" i="13"/>
  <c r="BE26" i="13" s="1"/>
  <c r="BA21" i="13"/>
  <c r="BD21" i="13"/>
  <c r="BE21" i="13" s="1"/>
  <c r="BA35" i="13"/>
  <c r="BD35" i="13"/>
  <c r="BE35" i="13" s="1"/>
  <c r="BA19" i="13"/>
  <c r="BD19" i="13"/>
  <c r="BE19" i="13" s="1"/>
  <c r="BA29" i="13"/>
  <c r="BD29" i="13"/>
  <c r="BE29" i="13" s="1"/>
  <c r="BA37" i="13"/>
  <c r="BD37" i="13"/>
  <c r="BE37" i="13" s="1"/>
  <c r="BA38" i="13"/>
  <c r="BD38" i="13"/>
  <c r="BE38" i="13" s="1"/>
  <c r="BA23" i="13"/>
  <c r="BD23" i="13"/>
  <c r="BE23" i="13" s="1"/>
  <c r="BA10" i="13"/>
  <c r="BD10" i="13"/>
  <c r="BE10" i="13" s="1"/>
  <c r="BA11" i="13"/>
  <c r="BD11" i="13"/>
  <c r="BE11" i="13" s="1"/>
  <c r="BA34" i="13"/>
  <c r="BD34" i="13"/>
  <c r="BE34" i="13" s="1"/>
  <c r="BA28" i="13"/>
  <c r="BD28" i="13"/>
  <c r="BE28" i="13" s="1"/>
  <c r="BA36" i="13"/>
  <c r="BD36" i="13"/>
  <c r="BE36" i="13" s="1"/>
  <c r="BA16" i="13"/>
  <c r="BD16" i="13"/>
  <c r="BE16" i="13" s="1"/>
  <c r="BA24" i="13"/>
  <c r="BD24" i="13"/>
  <c r="BE24" i="13" s="1"/>
  <c r="BA31" i="13"/>
  <c r="BD31" i="13"/>
  <c r="BE31" i="13" s="1"/>
  <c r="BA15" i="13"/>
  <c r="BD15" i="13"/>
  <c r="BE15" i="13" s="1"/>
  <c r="BA18" i="13"/>
  <c r="BD18" i="13"/>
  <c r="BE18" i="13" s="1"/>
  <c r="BA33" i="13"/>
  <c r="BD33" i="13"/>
  <c r="BE33" i="13" s="1"/>
  <c r="BA17" i="13"/>
  <c r="BD17" i="13"/>
  <c r="BE17" i="13" s="1"/>
  <c r="BA12" i="13"/>
  <c r="BD12" i="13"/>
  <c r="BE12" i="13" s="1"/>
  <c r="BA25" i="13"/>
  <c r="BD25" i="13"/>
  <c r="BE25" i="13" s="1"/>
  <c r="BA32" i="13"/>
  <c r="BD32" i="13"/>
  <c r="BE32" i="13" s="1"/>
  <c r="BD22" i="13"/>
  <c r="BE22" i="13" s="1"/>
  <c r="BA22" i="13"/>
  <c r="BA9" i="13"/>
  <c r="BD9" i="13"/>
  <c r="BE9" i="13" s="1"/>
  <c r="BA27" i="13"/>
  <c r="BD27" i="13"/>
  <c r="BE27" i="13" s="1"/>
  <c r="BA20" i="13"/>
  <c r="BD20" i="13"/>
  <c r="BE20" i="13" s="1"/>
  <c r="BA14" i="13"/>
  <c r="BD14" i="13"/>
  <c r="BE14" i="13" s="1"/>
  <c r="BA13" i="13"/>
  <c r="BD13" i="13"/>
  <c r="BE13" i="13" s="1"/>
  <c r="BA11" i="12"/>
  <c r="BD11" i="12"/>
  <c r="BE11" i="12" s="1"/>
  <c r="BA21" i="12"/>
  <c r="BD21" i="12"/>
  <c r="BE21" i="12" s="1"/>
  <c r="BA26" i="12"/>
  <c r="BD26" i="12"/>
  <c r="BE26" i="12" s="1"/>
  <c r="BA27" i="12"/>
  <c r="BD27" i="12"/>
  <c r="BE27" i="12" s="1"/>
  <c r="BA17" i="12"/>
  <c r="BD17" i="12"/>
  <c r="BE17" i="12" s="1"/>
  <c r="BA14" i="12"/>
  <c r="BD14" i="12"/>
  <c r="BE14" i="12" s="1"/>
  <c r="BD36" i="12"/>
  <c r="BE36" i="12" s="1"/>
  <c r="BA36" i="12"/>
  <c r="BA33" i="12"/>
  <c r="BD33" i="12"/>
  <c r="BE33" i="12" s="1"/>
  <c r="BA18" i="12"/>
  <c r="BD18" i="12"/>
  <c r="BE18" i="12" s="1"/>
  <c r="BD22" i="12"/>
  <c r="BE22" i="12" s="1"/>
  <c r="BA22" i="12"/>
  <c r="BD12" i="12"/>
  <c r="BE12" i="12" s="1"/>
  <c r="BA12" i="12"/>
  <c r="BA34" i="12"/>
  <c r="BD34" i="12"/>
  <c r="BE34" i="12" s="1"/>
  <c r="BA10" i="12"/>
  <c r="BD10" i="12"/>
  <c r="BE10" i="12" s="1"/>
  <c r="BA19" i="12"/>
  <c r="BD19" i="12"/>
  <c r="BE19" i="12" s="1"/>
  <c r="BA30" i="12"/>
  <c r="BD30" i="12"/>
  <c r="BE30" i="12" s="1"/>
  <c r="BA28" i="12"/>
  <c r="BD28" i="12"/>
  <c r="BE28" i="12" s="1"/>
  <c r="BA37" i="12"/>
  <c r="BD37" i="12"/>
  <c r="BE37" i="12" s="1"/>
  <c r="BA35" i="12"/>
  <c r="BD35" i="12"/>
  <c r="BE35" i="12" s="1"/>
  <c r="BA31" i="12"/>
  <c r="BD31" i="12"/>
  <c r="BE31" i="12" s="1"/>
  <c r="BA29" i="12"/>
  <c r="BD29" i="12"/>
  <c r="BE29" i="12" s="1"/>
  <c r="BA23" i="12"/>
  <c r="BD23" i="12"/>
  <c r="BE23" i="12" s="1"/>
  <c r="BA16" i="12"/>
  <c r="BD16" i="12"/>
  <c r="BE16" i="12" s="1"/>
  <c r="BA9" i="12"/>
  <c r="BD9" i="12"/>
  <c r="BE9" i="12" s="1"/>
  <c r="BD20" i="12"/>
  <c r="BE20" i="12" s="1"/>
  <c r="BA20" i="12"/>
  <c r="BA24" i="12"/>
  <c r="BD24" i="12"/>
  <c r="BE24" i="12" s="1"/>
  <c r="BA15" i="12"/>
  <c r="BD15" i="12"/>
  <c r="BE15" i="12" s="1"/>
  <c r="BA25" i="12"/>
  <c r="BD25" i="12"/>
  <c r="BE25" i="12" s="1"/>
  <c r="BA13" i="12"/>
  <c r="BD13" i="12"/>
  <c r="BE13" i="12" s="1"/>
  <c r="BA32" i="12"/>
  <c r="BD32" i="12"/>
  <c r="BE32" i="12" s="1"/>
  <c r="BA38" i="12"/>
  <c r="BD38" i="12"/>
  <c r="BE38" i="12" s="1"/>
  <c r="BA24" i="11"/>
  <c r="BD24" i="11"/>
  <c r="BE24" i="11" s="1"/>
  <c r="BA20" i="11"/>
  <c r="BD20" i="11"/>
  <c r="BE20" i="11" s="1"/>
  <c r="BA31" i="11"/>
  <c r="BD31" i="11"/>
  <c r="BE31" i="11" s="1"/>
  <c r="BA33" i="11"/>
  <c r="BD33" i="11"/>
  <c r="BE33" i="11" s="1"/>
  <c r="BA23" i="11"/>
  <c r="BD23" i="11"/>
  <c r="BE23" i="11" s="1"/>
  <c r="BA22" i="11"/>
  <c r="BD22" i="11"/>
  <c r="BE22" i="11" s="1"/>
  <c r="BA25" i="11"/>
  <c r="BD25" i="11"/>
  <c r="BE25" i="11" s="1"/>
  <c r="BA13" i="11"/>
  <c r="BD13" i="11"/>
  <c r="BE13" i="11" s="1"/>
  <c r="BA35" i="11"/>
  <c r="BD35" i="11"/>
  <c r="BE35" i="11" s="1"/>
  <c r="BA38" i="11"/>
  <c r="BD38" i="11"/>
  <c r="BE38" i="11" s="1"/>
  <c r="BA16" i="11"/>
  <c r="BD16" i="11"/>
  <c r="BE16" i="11" s="1"/>
  <c r="BA32" i="11"/>
  <c r="BD32" i="11"/>
  <c r="BE32" i="11" s="1"/>
  <c r="BA9" i="11"/>
  <c r="BD9" i="11"/>
  <c r="BE9" i="11" s="1"/>
  <c r="BA18" i="11"/>
  <c r="BD18" i="11"/>
  <c r="BE18" i="11" s="1"/>
  <c r="BA30" i="11"/>
  <c r="BD30" i="11"/>
  <c r="BE30" i="11" s="1"/>
  <c r="BA19" i="11"/>
  <c r="BD19" i="11"/>
  <c r="BE19" i="11" s="1"/>
  <c r="BA21" i="11"/>
  <c r="BD21" i="11"/>
  <c r="BE21" i="11" s="1"/>
  <c r="BA27" i="11"/>
  <c r="BD27" i="11"/>
  <c r="BE27" i="11" s="1"/>
  <c r="BA37" i="11"/>
  <c r="BD37" i="11"/>
  <c r="BE37" i="11" s="1"/>
  <c r="BA26" i="11"/>
  <c r="BD26" i="11"/>
  <c r="BE26" i="11" s="1"/>
  <c r="BA29" i="11"/>
  <c r="BD29" i="11"/>
  <c r="BE29" i="11" s="1"/>
  <c r="BA14" i="11"/>
  <c r="BD14" i="11"/>
  <c r="BE14" i="11" s="1"/>
  <c r="BA28" i="11"/>
  <c r="BD28" i="11"/>
  <c r="BE28" i="11" s="1"/>
  <c r="BA10" i="11"/>
  <c r="BD10" i="11"/>
  <c r="BE10" i="11" s="1"/>
  <c r="BA15" i="11"/>
  <c r="BD15" i="11"/>
  <c r="BE15" i="11" s="1"/>
  <c r="BA34" i="11"/>
  <c r="BD34" i="11"/>
  <c r="BE34" i="11" s="1"/>
  <c r="BA11" i="11"/>
  <c r="BD11" i="11"/>
  <c r="BE11" i="11" s="1"/>
  <c r="BA36" i="11"/>
  <c r="BD36" i="11"/>
  <c r="BE36" i="11" s="1"/>
  <c r="BA12" i="11"/>
  <c r="BD12" i="11"/>
  <c r="BE12" i="11" s="1"/>
  <c r="BA17" i="11"/>
  <c r="BD17" i="11"/>
  <c r="BE17" i="11" s="1"/>
  <c r="BA36" i="10"/>
  <c r="BD36" i="10"/>
  <c r="BE36" i="10" s="1"/>
  <c r="BA20" i="10"/>
  <c r="BD20" i="10"/>
  <c r="BE20" i="10" s="1"/>
  <c r="BA9" i="10"/>
  <c r="BD9" i="10"/>
  <c r="BE9" i="10" s="1"/>
  <c r="BA21" i="10"/>
  <c r="BD21" i="10"/>
  <c r="BE21" i="10" s="1"/>
  <c r="BA23" i="10"/>
  <c r="BD23" i="10"/>
  <c r="BE23" i="10" s="1"/>
  <c r="BA37" i="10"/>
  <c r="BD37" i="10"/>
  <c r="BE37" i="10" s="1"/>
  <c r="BA12" i="10"/>
  <c r="BD12" i="10"/>
  <c r="BE12" i="10" s="1"/>
  <c r="BA10" i="10"/>
  <c r="BD10" i="10"/>
  <c r="BE10" i="10" s="1"/>
  <c r="BA22" i="10"/>
  <c r="BD22" i="10"/>
  <c r="BE22" i="10" s="1"/>
  <c r="BA33" i="10"/>
  <c r="BD33" i="10"/>
  <c r="BE33" i="10" s="1"/>
  <c r="BA34" i="10"/>
  <c r="BD34" i="10"/>
  <c r="BE34" i="10" s="1"/>
  <c r="BA14" i="10"/>
  <c r="BD14" i="10"/>
  <c r="BE14" i="10" s="1"/>
  <c r="BA31" i="10"/>
  <c r="BD31" i="10"/>
  <c r="BE31" i="10" s="1"/>
  <c r="BA27" i="10"/>
  <c r="BD27" i="10"/>
  <c r="BE27" i="10" s="1"/>
  <c r="BA28" i="10"/>
  <c r="BD28" i="10"/>
  <c r="BE28" i="10" s="1"/>
  <c r="BA11" i="10"/>
  <c r="BD11" i="10"/>
  <c r="BE11" i="10" s="1"/>
  <c r="BA15" i="10"/>
  <c r="BD15" i="10"/>
  <c r="BE15" i="10" s="1"/>
  <c r="BA19" i="10"/>
  <c r="BD19" i="10"/>
  <c r="BE19" i="10" s="1"/>
  <c r="BA38" i="10"/>
  <c r="BD38" i="10"/>
  <c r="BE38" i="10" s="1"/>
  <c r="BA18" i="10"/>
  <c r="BD18" i="10"/>
  <c r="BE18" i="10" s="1"/>
  <c r="BA29" i="10"/>
  <c r="BD29" i="10"/>
  <c r="BE29" i="10" s="1"/>
  <c r="BA26" i="10"/>
  <c r="BD26" i="10"/>
  <c r="BE26" i="10" s="1"/>
  <c r="BA16" i="10"/>
  <c r="BD16" i="10"/>
  <c r="BE16" i="10" s="1"/>
  <c r="BD13" i="10"/>
  <c r="BE13" i="10" s="1"/>
  <c r="BA13" i="10"/>
  <c r="BA30" i="10"/>
  <c r="BD30" i="10"/>
  <c r="BE30" i="10" s="1"/>
  <c r="BA17" i="10"/>
  <c r="BD17" i="10"/>
  <c r="BE17" i="10" s="1"/>
  <c r="BA25" i="10"/>
  <c r="BD25" i="10"/>
  <c r="BE25" i="10" s="1"/>
  <c r="BA32" i="10"/>
  <c r="BD32" i="10"/>
  <c r="BE32" i="10" s="1"/>
  <c r="BA35" i="10"/>
  <c r="BD35" i="10"/>
  <c r="BE35" i="10" s="1"/>
  <c r="BA24" i="10"/>
  <c r="BD24" i="10"/>
  <c r="BE24" i="10" s="1"/>
  <c r="BA21" i="7"/>
  <c r="BD21" i="7"/>
  <c r="BE21" i="7" s="1"/>
  <c r="BA11" i="7"/>
  <c r="BD11" i="7"/>
  <c r="BE11" i="7" s="1"/>
  <c r="BA28" i="7"/>
  <c r="BD28" i="7"/>
  <c r="BE28" i="7" s="1"/>
  <c r="BA20" i="7"/>
  <c r="BD20" i="7"/>
  <c r="BE20" i="7" s="1"/>
  <c r="BA19" i="7"/>
  <c r="BD19" i="7"/>
  <c r="BE19" i="7" s="1"/>
  <c r="BA30" i="7"/>
  <c r="BD30" i="7"/>
  <c r="BE30" i="7" s="1"/>
  <c r="BA14" i="7"/>
  <c r="BD14" i="7"/>
  <c r="BE14" i="7" s="1"/>
  <c r="BA25" i="7"/>
  <c r="BD25" i="7"/>
  <c r="BE25" i="7" s="1"/>
  <c r="BA32" i="7"/>
  <c r="BD32" i="7"/>
  <c r="BE32" i="7" s="1"/>
  <c r="BA9" i="7"/>
  <c r="BD9" i="7"/>
  <c r="BE9" i="7" s="1"/>
  <c r="BA15" i="7"/>
  <c r="BD15" i="7"/>
  <c r="BE15" i="7" s="1"/>
  <c r="BA16" i="7"/>
  <c r="BD16" i="7"/>
  <c r="BE16" i="7" s="1"/>
  <c r="BA26" i="7"/>
  <c r="BD26" i="7"/>
  <c r="BE26" i="7" s="1"/>
  <c r="BD23" i="7"/>
  <c r="BE23" i="7" s="1"/>
  <c r="BA23" i="7"/>
  <c r="BA37" i="7"/>
  <c r="BD37" i="7"/>
  <c r="BE37" i="7" s="1"/>
  <c r="BA34" i="7"/>
  <c r="BD34" i="7"/>
  <c r="BE34" i="7" s="1"/>
  <c r="BA29" i="7"/>
  <c r="BD29" i="7"/>
  <c r="BE29" i="7" s="1"/>
  <c r="BA13" i="7"/>
  <c r="BD13" i="7"/>
  <c r="BE13" i="7" s="1"/>
  <c r="BA22" i="7"/>
  <c r="BD22" i="7"/>
  <c r="BE22" i="7" s="1"/>
  <c r="BA12" i="7"/>
  <c r="BD12" i="7"/>
  <c r="BE12" i="7" s="1"/>
  <c r="BD18" i="7"/>
  <c r="BE18" i="7" s="1"/>
  <c r="BA18" i="7"/>
  <c r="BA33" i="7"/>
  <c r="BD33" i="7"/>
  <c r="BE33" i="7" s="1"/>
  <c r="BA24" i="7"/>
  <c r="BD24" i="7"/>
  <c r="BE24" i="7" s="1"/>
  <c r="BA31" i="7"/>
  <c r="BD31" i="7"/>
  <c r="BE31" i="7" s="1"/>
  <c r="BA27" i="7"/>
  <c r="BD27" i="7"/>
  <c r="BE27" i="7" s="1"/>
  <c r="BA38" i="7"/>
  <c r="BD38" i="7"/>
  <c r="BE38" i="7" s="1"/>
  <c r="BA36" i="7"/>
  <c r="BD36" i="7"/>
  <c r="BE36" i="7" s="1"/>
  <c r="BA10" i="7"/>
  <c r="BD10" i="7"/>
  <c r="BE10" i="7" s="1"/>
  <c r="BA35" i="7"/>
  <c r="BD35" i="7"/>
  <c r="BE35" i="7" s="1"/>
  <c r="BA17" i="7"/>
  <c r="BD17" i="7"/>
  <c r="BE17" i="7" s="1"/>
  <c r="BA26" i="6"/>
  <c r="BD26" i="6"/>
  <c r="BE26" i="6" s="1"/>
  <c r="BA30" i="6"/>
  <c r="BD30" i="6"/>
  <c r="BE30" i="6" s="1"/>
  <c r="BA11" i="6"/>
  <c r="BD11" i="6"/>
  <c r="BE11" i="6" s="1"/>
  <c r="BA16" i="6"/>
  <c r="BD16" i="6"/>
  <c r="BE16" i="6" s="1"/>
  <c r="BA29" i="6"/>
  <c r="BD29" i="6"/>
  <c r="BE29" i="6" s="1"/>
  <c r="BA14" i="6"/>
  <c r="BD14" i="6"/>
  <c r="BE14" i="6" s="1"/>
  <c r="BA12" i="6"/>
  <c r="BD12" i="6"/>
  <c r="BE12" i="6" s="1"/>
  <c r="BA37" i="6"/>
  <c r="BD37" i="6"/>
  <c r="BE37" i="6" s="1"/>
  <c r="BA10" i="6"/>
  <c r="BD10" i="6"/>
  <c r="BE10" i="6" s="1"/>
  <c r="BA15" i="6"/>
  <c r="BD15" i="6"/>
  <c r="BE15" i="6" s="1"/>
  <c r="BA32" i="6"/>
  <c r="BD32" i="6"/>
  <c r="BE32" i="6" s="1"/>
  <c r="BA9" i="6"/>
  <c r="BD9" i="6"/>
  <c r="BE9" i="6" s="1"/>
  <c r="BA38" i="6"/>
  <c r="BD38" i="6"/>
  <c r="BE38" i="6" s="1"/>
  <c r="BA22" i="6"/>
  <c r="BD22" i="6"/>
  <c r="BE22" i="6" s="1"/>
  <c r="BA23" i="6"/>
  <c r="BD23" i="6"/>
  <c r="BE23" i="6" s="1"/>
  <c r="BA21" i="6"/>
  <c r="BD21" i="6"/>
  <c r="BE21" i="6" s="1"/>
  <c r="BA13" i="6"/>
  <c r="BD13" i="6"/>
  <c r="BE13" i="6" s="1"/>
  <c r="BA20" i="6"/>
  <c r="BD20" i="6"/>
  <c r="BE20" i="6" s="1"/>
  <c r="BA25" i="6"/>
  <c r="BD25" i="6"/>
  <c r="BE25" i="6" s="1"/>
  <c r="BA17" i="6"/>
  <c r="BD17" i="6"/>
  <c r="BE17" i="6" s="1"/>
  <c r="BA19" i="6"/>
  <c r="BD19" i="6"/>
  <c r="BE19" i="6" s="1"/>
  <c r="BA24" i="6"/>
  <c r="BD24" i="6"/>
  <c r="BE24" i="6" s="1"/>
  <c r="BA31" i="6"/>
  <c r="BD31" i="6"/>
  <c r="BE31" i="6" s="1"/>
  <c r="BA18" i="6"/>
  <c r="BD18" i="6"/>
  <c r="BE18" i="6" s="1"/>
  <c r="BA36" i="6"/>
  <c r="BD36" i="6"/>
  <c r="BE36" i="6" s="1"/>
  <c r="BA28" i="6"/>
  <c r="BD28" i="6"/>
  <c r="BE28" i="6" s="1"/>
  <c r="BA27" i="6"/>
  <c r="BD27" i="6"/>
  <c r="BE27" i="6" s="1"/>
  <c r="BA35" i="6"/>
  <c r="BD35" i="6"/>
  <c r="BE35" i="6" s="1"/>
  <c r="BA33" i="6"/>
  <c r="BD33" i="6"/>
  <c r="BE33" i="6" s="1"/>
  <c r="BA34" i="6"/>
  <c r="BD34" i="6"/>
  <c r="BE34" i="6" s="1"/>
  <c r="BA26" i="5"/>
  <c r="BD26" i="5"/>
  <c r="BE26" i="5" s="1"/>
  <c r="BA14" i="5"/>
  <c r="BD14" i="5"/>
  <c r="BE14" i="5" s="1"/>
  <c r="BA11" i="5"/>
  <c r="BD11" i="5"/>
  <c r="BE11" i="5" s="1"/>
  <c r="BA10" i="5"/>
  <c r="BD10" i="5"/>
  <c r="BE10" i="5" s="1"/>
  <c r="BA12" i="5"/>
  <c r="BD12" i="5"/>
  <c r="BE12" i="5" s="1"/>
  <c r="BA18" i="5"/>
  <c r="BD18" i="5"/>
  <c r="BE18" i="5" s="1"/>
  <c r="BA38" i="5"/>
  <c r="BD38" i="5"/>
  <c r="BE38" i="5" s="1"/>
  <c r="BA28" i="5"/>
  <c r="BD28" i="5"/>
  <c r="BE28" i="5" s="1"/>
  <c r="BA36" i="5"/>
  <c r="BD36" i="5"/>
  <c r="BE36" i="5" s="1"/>
  <c r="BA15" i="5"/>
  <c r="BD15" i="5"/>
  <c r="BE15" i="5" s="1"/>
  <c r="BA21" i="5"/>
  <c r="BD21" i="5"/>
  <c r="BE21" i="5" s="1"/>
  <c r="BA13" i="5"/>
  <c r="BD13" i="5"/>
  <c r="BE13" i="5" s="1"/>
  <c r="BA17" i="5"/>
  <c r="BD17" i="5"/>
  <c r="BE17" i="5" s="1"/>
  <c r="BA31" i="5"/>
  <c r="BD31" i="5"/>
  <c r="BE31" i="5" s="1"/>
  <c r="BA29" i="5"/>
  <c r="BD29" i="5"/>
  <c r="BE29" i="5" s="1"/>
  <c r="BA22" i="5"/>
  <c r="BD22" i="5"/>
  <c r="BE22" i="5" s="1"/>
  <c r="BA20" i="5"/>
  <c r="BD20" i="5"/>
  <c r="BE20" i="5" s="1"/>
  <c r="BA35" i="5"/>
  <c r="BD35" i="5"/>
  <c r="BE35" i="5" s="1"/>
  <c r="BA32" i="5"/>
  <c r="BD32" i="5"/>
  <c r="BE32" i="5" s="1"/>
  <c r="BA23" i="5"/>
  <c r="BD23" i="5"/>
  <c r="BE23" i="5" s="1"/>
  <c r="BA24" i="5"/>
  <c r="BD24" i="5"/>
  <c r="BE24" i="5" s="1"/>
  <c r="BA37" i="5"/>
  <c r="BD37" i="5"/>
  <c r="BE37" i="5" s="1"/>
  <c r="BA19" i="5"/>
  <c r="BD19" i="5"/>
  <c r="BE19" i="5" s="1"/>
  <c r="BA33" i="5"/>
  <c r="BD33" i="5"/>
  <c r="BE33" i="5" s="1"/>
  <c r="BA9" i="5"/>
  <c r="BD9" i="5"/>
  <c r="BE9" i="5" s="1"/>
  <c r="BA30" i="5"/>
  <c r="BD30" i="5"/>
  <c r="BE30" i="5" s="1"/>
  <c r="BA16" i="5"/>
  <c r="BD16" i="5"/>
  <c r="BE16" i="5" s="1"/>
  <c r="BA27" i="5"/>
  <c r="BD27" i="5"/>
  <c r="BE27" i="5" s="1"/>
  <c r="BA25" i="5"/>
  <c r="BD25" i="5"/>
  <c r="BE25" i="5" s="1"/>
  <c r="BA34" i="5"/>
  <c r="BD34" i="5"/>
  <c r="BE34" i="5" s="1"/>
  <c r="BA32" i="4"/>
  <c r="BD32" i="4"/>
  <c r="BE32" i="4" s="1"/>
  <c r="BA36" i="4"/>
  <c r="BD36" i="4"/>
  <c r="BE36" i="4" s="1"/>
  <c r="BA38" i="4"/>
  <c r="BD38" i="4"/>
  <c r="BE38" i="4" s="1"/>
  <c r="BA27" i="4"/>
  <c r="BD27" i="4"/>
  <c r="BE27" i="4" s="1"/>
  <c r="BA22" i="4"/>
  <c r="BD22" i="4"/>
  <c r="BE22" i="4" s="1"/>
  <c r="BA16" i="4"/>
  <c r="BD16" i="4"/>
  <c r="BE16" i="4" s="1"/>
  <c r="BA19" i="4"/>
  <c r="BD19" i="4"/>
  <c r="BE19" i="4" s="1"/>
  <c r="BA10" i="4"/>
  <c r="BD10" i="4"/>
  <c r="BE10" i="4" s="1"/>
  <c r="BA12" i="4"/>
  <c r="BD12" i="4"/>
  <c r="BE12" i="4" s="1"/>
  <c r="BA33" i="4"/>
  <c r="BD33" i="4"/>
  <c r="BE33" i="4" s="1"/>
  <c r="BA17" i="4"/>
  <c r="BD17" i="4"/>
  <c r="BE17" i="4" s="1"/>
  <c r="BA21" i="4"/>
  <c r="BD21" i="4"/>
  <c r="BE21" i="4" s="1"/>
  <c r="BA18" i="4"/>
  <c r="BD18" i="4"/>
  <c r="BE18" i="4" s="1"/>
  <c r="BA15" i="4"/>
  <c r="BD15" i="4"/>
  <c r="BE15" i="4" s="1"/>
  <c r="BD28" i="4"/>
  <c r="BE28" i="4" s="1"/>
  <c r="BA28" i="4"/>
  <c r="BA37" i="4"/>
  <c r="BD37" i="4"/>
  <c r="BE37" i="4" s="1"/>
  <c r="BA13" i="4"/>
  <c r="BD13" i="4"/>
  <c r="BE13" i="4" s="1"/>
  <c r="BA9" i="4"/>
  <c r="BD9" i="4"/>
  <c r="BE9" i="4" s="1"/>
  <c r="BA35" i="4"/>
  <c r="BD35" i="4"/>
  <c r="BE35" i="4" s="1"/>
  <c r="BA25" i="4"/>
  <c r="BD25" i="4"/>
  <c r="BE25" i="4" s="1"/>
  <c r="BA11" i="4"/>
  <c r="BD11" i="4"/>
  <c r="BE11" i="4" s="1"/>
  <c r="BA31" i="4"/>
  <c r="BD31" i="4"/>
  <c r="BE31" i="4" s="1"/>
  <c r="BA26" i="4"/>
  <c r="BD26" i="4"/>
  <c r="BE26" i="4" s="1"/>
  <c r="BA24" i="4"/>
  <c r="BD24" i="4"/>
  <c r="BE24" i="4" s="1"/>
  <c r="BA14" i="4"/>
  <c r="BD14" i="4"/>
  <c r="BE14" i="4" s="1"/>
  <c r="BA34" i="4"/>
  <c r="BD34" i="4"/>
  <c r="BE34" i="4" s="1"/>
  <c r="BA29" i="4"/>
  <c r="BD29" i="4"/>
  <c r="BE29" i="4" s="1"/>
  <c r="BA30" i="4"/>
  <c r="BD30" i="4"/>
  <c r="BE30" i="4" s="1"/>
  <c r="BA23" i="4"/>
  <c r="BD23" i="4"/>
  <c r="BE23" i="4" s="1"/>
  <c r="BA20" i="4"/>
  <c r="BD20" i="4"/>
  <c r="BE20" i="4" s="1"/>
  <c r="AX12" i="2"/>
  <c r="J22" i="2"/>
  <c r="AY22" i="2" s="1"/>
  <c r="AX9" i="2"/>
  <c r="AX19" i="2"/>
  <c r="AX24" i="2"/>
  <c r="AX15" i="2"/>
  <c r="AX18" i="2"/>
  <c r="AX31" i="2"/>
  <c r="AX17" i="2"/>
  <c r="AX27" i="2"/>
  <c r="AX36" i="2"/>
  <c r="AX21" i="2"/>
  <c r="AX30" i="2"/>
  <c r="AX34" i="2"/>
  <c r="AX32" i="2"/>
  <c r="AX10" i="2"/>
  <c r="AX22" i="2"/>
  <c r="AX13" i="2"/>
  <c r="AX23" i="2"/>
  <c r="AX25" i="2"/>
  <c r="AX37" i="2"/>
  <c r="AX11" i="2"/>
  <c r="AX26" i="2"/>
  <c r="AX33" i="2"/>
  <c r="AX35" i="2"/>
  <c r="AX29" i="2"/>
  <c r="AX20" i="2"/>
  <c r="AX28" i="2"/>
  <c r="AX14" i="2"/>
  <c r="AX38" i="2"/>
  <c r="AX16" i="2"/>
  <c r="J19" i="2"/>
  <c r="AY19" i="2" s="1"/>
  <c r="J21" i="2"/>
  <c r="AY21" i="2" s="1"/>
  <c r="J14" i="2"/>
  <c r="AY14" i="2" s="1"/>
  <c r="J30" i="2"/>
  <c r="AY30" i="2" s="1"/>
  <c r="J24" i="2"/>
  <c r="AY24" i="2" s="1"/>
  <c r="J36" i="2"/>
  <c r="AY36" i="2" s="1"/>
  <c r="J28" i="2"/>
  <c r="AY28" i="2" s="1"/>
  <c r="J33" i="2"/>
  <c r="AY33" i="2" s="1"/>
  <c r="J20" i="2"/>
  <c r="AY20" i="2" s="1"/>
  <c r="J13" i="2"/>
  <c r="AY13" i="2" s="1"/>
  <c r="J15" i="2"/>
  <c r="AY15" i="2" s="1"/>
  <c r="J37" i="2"/>
  <c r="AY37" i="2" s="1"/>
  <c r="J23" i="2"/>
  <c r="AY23" i="2" s="1"/>
  <c r="J18" i="2"/>
  <c r="AY18" i="2" s="1"/>
  <c r="J17" i="2"/>
  <c r="AY17" i="2" s="1"/>
  <c r="J16" i="2"/>
  <c r="AY16" i="2" s="1"/>
  <c r="J11" i="2"/>
  <c r="AY11" i="2" s="1"/>
  <c r="J12" i="2"/>
  <c r="AY12" i="2" s="1"/>
  <c r="J26" i="2"/>
  <c r="AY26" i="2" s="1"/>
  <c r="J29" i="2"/>
  <c r="AY29" i="2" s="1"/>
  <c r="J32" i="2"/>
  <c r="AY32" i="2" s="1"/>
  <c r="J35" i="2"/>
  <c r="AY35" i="2" s="1"/>
  <c r="J31" i="2"/>
  <c r="AY31" i="2" s="1"/>
  <c r="J38" i="2"/>
  <c r="AY38" i="2" s="1"/>
  <c r="J34" i="2"/>
  <c r="AY34" i="2" s="1"/>
  <c r="J25" i="2"/>
  <c r="AY25" i="2" s="1"/>
  <c r="J27" i="2"/>
  <c r="AY27" i="2" s="1"/>
  <c r="BA14" i="2" l="1"/>
  <c r="BD14" i="2"/>
  <c r="BE14" i="2" s="1"/>
  <c r="BA30" i="2"/>
  <c r="BD30" i="2"/>
  <c r="BE30" i="2" s="1"/>
  <c r="BA24" i="2"/>
  <c r="BD24" i="2"/>
  <c r="BE24" i="2" s="1"/>
  <c r="BA35" i="2"/>
  <c r="BD35" i="2"/>
  <c r="BE35" i="2" s="1"/>
  <c r="BA37" i="2"/>
  <c r="BD37" i="2"/>
  <c r="BE37" i="2" s="1"/>
  <c r="BA22" i="2"/>
  <c r="BD22" i="2"/>
  <c r="BE22" i="2" s="1"/>
  <c r="BA28" i="2"/>
  <c r="BD28" i="2"/>
  <c r="BE28" i="2" s="1"/>
  <c r="BA25" i="2"/>
  <c r="BD25" i="2"/>
  <c r="BE25" i="2" s="1"/>
  <c r="BA21" i="2"/>
  <c r="BD21" i="2"/>
  <c r="BE21" i="2" s="1"/>
  <c r="BA31" i="2"/>
  <c r="BD31" i="2"/>
  <c r="BE31" i="2" s="1"/>
  <c r="BA33" i="2"/>
  <c r="BD33" i="2"/>
  <c r="BE33" i="2" s="1"/>
  <c r="BA18" i="2"/>
  <c r="BD18" i="2"/>
  <c r="BE18" i="2" s="1"/>
  <c r="BA26" i="2"/>
  <c r="BD26" i="2"/>
  <c r="BE26" i="2" s="1"/>
  <c r="BA36" i="2"/>
  <c r="BD36" i="2"/>
  <c r="BE36" i="2" s="1"/>
  <c r="BA19" i="2"/>
  <c r="BD19" i="2"/>
  <c r="BE19" i="2" s="1"/>
  <c r="BA16" i="2"/>
  <c r="BD16" i="2"/>
  <c r="BE16" i="2" s="1"/>
  <c r="BA23" i="2"/>
  <c r="BD23" i="2"/>
  <c r="BE23" i="2" s="1"/>
  <c r="BA32" i="2"/>
  <c r="BD32" i="2"/>
  <c r="BE32" i="2" s="1"/>
  <c r="BA20" i="2"/>
  <c r="BD20" i="2"/>
  <c r="BE20" i="2" s="1"/>
  <c r="BA15" i="2"/>
  <c r="BD15" i="2"/>
  <c r="BE15" i="2" s="1"/>
  <c r="BA38" i="2"/>
  <c r="BD38" i="2"/>
  <c r="BE38" i="2" s="1"/>
  <c r="BA29" i="2"/>
  <c r="BD29" i="2"/>
  <c r="BE29" i="2" s="1"/>
  <c r="BA11" i="2"/>
  <c r="BD11" i="2"/>
  <c r="BE11" i="2" s="1"/>
  <c r="BA13" i="2"/>
  <c r="BD13" i="2"/>
  <c r="BE13" i="2" s="1"/>
  <c r="BA34" i="2"/>
  <c r="BD34" i="2"/>
  <c r="BE34" i="2" s="1"/>
  <c r="BA27" i="2"/>
  <c r="BD27" i="2"/>
  <c r="BE27" i="2" s="1"/>
  <c r="BA17" i="2"/>
  <c r="BD17" i="2"/>
  <c r="BE17" i="2" s="1"/>
  <c r="BA12" i="2"/>
  <c r="BD12" i="2"/>
  <c r="BE12" i="2" s="1"/>
  <c r="BA9" i="2"/>
  <c r="BD9" i="2"/>
  <c r="BE9" i="2" s="1"/>
  <c r="BA10" i="2"/>
  <c r="BD10" i="2"/>
  <c r="BE10" i="2" s="1"/>
</calcChain>
</file>

<file path=xl/sharedStrings.xml><?xml version="1.0" encoding="utf-8"?>
<sst xmlns="http://schemas.openxmlformats.org/spreadsheetml/2006/main" count="1433" uniqueCount="86">
  <si>
    <t>S No</t>
  </si>
  <si>
    <t>Name</t>
  </si>
  <si>
    <t>Empoloyee id</t>
  </si>
  <si>
    <t>Name 2</t>
  </si>
  <si>
    <t>Name 3</t>
  </si>
  <si>
    <t>Name 4</t>
  </si>
  <si>
    <t>Name 5</t>
  </si>
  <si>
    <t>Name 6</t>
  </si>
  <si>
    <t>Name 7</t>
  </si>
  <si>
    <t>Name 8</t>
  </si>
  <si>
    <t>Name 9</t>
  </si>
  <si>
    <t>Name 10</t>
  </si>
  <si>
    <t>Name 11</t>
  </si>
  <si>
    <t>Name 12</t>
  </si>
  <si>
    <t>Name 13</t>
  </si>
  <si>
    <t>Name 14</t>
  </si>
  <si>
    <t>Name 15</t>
  </si>
  <si>
    <t>Name 16</t>
  </si>
  <si>
    <t>Name 17</t>
  </si>
  <si>
    <t>Name 18</t>
  </si>
  <si>
    <t>Name 19</t>
  </si>
  <si>
    <t>Name 20</t>
  </si>
  <si>
    <t>Name 21</t>
  </si>
  <si>
    <t>Name 22</t>
  </si>
  <si>
    <t>Name 23</t>
  </si>
  <si>
    <t>Name 24</t>
  </si>
  <si>
    <t>Name 25</t>
  </si>
  <si>
    <t>Name 26</t>
  </si>
  <si>
    <t>Name 27</t>
  </si>
  <si>
    <t>Name 28</t>
  </si>
  <si>
    <t>Name 29</t>
  </si>
  <si>
    <t>Name 30</t>
  </si>
  <si>
    <t>Emp 1</t>
  </si>
  <si>
    <t>Emp 2</t>
  </si>
  <si>
    <t>Emp 3</t>
  </si>
  <si>
    <t>Emp 4</t>
  </si>
  <si>
    <t>Emp 5</t>
  </si>
  <si>
    <t>Emp 6</t>
  </si>
  <si>
    <t>Emp 7</t>
  </si>
  <si>
    <t>Emp 8</t>
  </si>
  <si>
    <t>Emp 9</t>
  </si>
  <si>
    <t>Emp 10</t>
  </si>
  <si>
    <t>Emp 11</t>
  </si>
  <si>
    <t>Emp 12</t>
  </si>
  <si>
    <t>Emp 13</t>
  </si>
  <si>
    <t>Emp 14</t>
  </si>
  <si>
    <t>Emp 15</t>
  </si>
  <si>
    <t>Emp 16</t>
  </si>
  <si>
    <t>Emp 17</t>
  </si>
  <si>
    <t>Emp 18</t>
  </si>
  <si>
    <t>Emp 19</t>
  </si>
  <si>
    <t>Emp 20</t>
  </si>
  <si>
    <t>Emp 21</t>
  </si>
  <si>
    <t>Emp 22</t>
  </si>
  <si>
    <t>Emp 23</t>
  </si>
  <si>
    <t>Emp 24</t>
  </si>
  <si>
    <t>Emp 25</t>
  </si>
  <si>
    <t>Emp 26</t>
  </si>
  <si>
    <t>Emp 27</t>
  </si>
  <si>
    <t>Emp 28</t>
  </si>
  <si>
    <t>Emp 29</t>
  </si>
  <si>
    <t>Emp 30</t>
  </si>
  <si>
    <t>Week off</t>
  </si>
  <si>
    <t>TO</t>
  </si>
  <si>
    <t>from</t>
  </si>
  <si>
    <t>DAYS</t>
  </si>
  <si>
    <t>ADDITIONAL INFORMATION</t>
  </si>
  <si>
    <t>MONTHLY REPORT</t>
  </si>
  <si>
    <t>Present</t>
  </si>
  <si>
    <t>Absent</t>
  </si>
  <si>
    <t>Leave</t>
  </si>
  <si>
    <t>Weekoff</t>
  </si>
  <si>
    <t>Days</t>
  </si>
  <si>
    <t>Paid Days</t>
  </si>
  <si>
    <t>Salary</t>
  </si>
  <si>
    <t>Per Day Salary</t>
  </si>
  <si>
    <t>Deduction</t>
  </si>
  <si>
    <t>Total Salary</t>
  </si>
  <si>
    <t>Sparkline</t>
  </si>
  <si>
    <t>Month</t>
  </si>
  <si>
    <t>L</t>
  </si>
  <si>
    <t>P</t>
  </si>
  <si>
    <t>VIVEK</t>
  </si>
  <si>
    <t>GAUTAM</t>
  </si>
  <si>
    <t>VAIBHAV</t>
  </si>
  <si>
    <t>RAJIV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</si>
</sst>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dd"/>
    <numFmt numFmtId="166" formatCode="_ [$₹-4009]\ * #,##0.00_ ;_ [$₹-4009]\ * \-#,##0.00_ ;_ [$₹-4009]\ * &quot;-&quot;??_ ;_ @_ "/>
    <numFmt numFmtId="167" formatCode="_ [$₹-4009]\ * #,##0_ ;_ [$₹-4009]\ * \-#,##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8"/>
      <color theme="1"/>
      <name val="Algerian"/>
      <family val="5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/>
    </xf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67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5" fontId="3" fillId="7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65" fontId="3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9" fillId="9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376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6" formatCode="_ [$₹-4009]\ * #,##0.00_ ;_ [$₹-4009]\ * \-#,##0.0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67" formatCode="_ [$₹-4009]\ * #,##0_ ;_ [$₹-4009]\ * \-#,##0_ ;_ [$₹-4009]\ * &quot;-&quot;??_ ;_ @_ 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solid">
          <fgColor indexed="64"/>
          <bgColor rgb="FFCCFFCC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00FF"/>
      </font>
    </dxf>
    <dxf>
      <font>
        <b/>
        <i val="0"/>
        <color theme="5" tint="0.39994506668294322"/>
      </font>
    </dxf>
  </dxfs>
  <tableStyles count="0" defaultTableStyle="TableStyleMedium2" defaultPivotStyle="PivotStyleLight16"/>
  <colors>
    <mruColors>
      <color rgb="FF0000FF"/>
      <color rgb="FFCFF5FD"/>
      <color rgb="FF66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NOV!A1"/><Relationship Id="rId13" Type="http://schemas.openxmlformats.org/officeDocument/2006/relationships/image" Target="../media/image2.png"/><Relationship Id="rId3" Type="http://schemas.openxmlformats.org/officeDocument/2006/relationships/hyperlink" Target="#MAR!A1"/><Relationship Id="rId7" Type="http://schemas.openxmlformats.org/officeDocument/2006/relationships/hyperlink" Target="#APR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" Type="http://schemas.openxmlformats.org/officeDocument/2006/relationships/hyperlink" Target="#JAN!A1"/><Relationship Id="rId6" Type="http://schemas.openxmlformats.org/officeDocument/2006/relationships/hyperlink" Target="#SEP!A1"/><Relationship Id="rId11" Type="http://schemas.openxmlformats.org/officeDocument/2006/relationships/hyperlink" Target="#AUG!A1"/><Relationship Id="rId5" Type="http://schemas.openxmlformats.org/officeDocument/2006/relationships/hyperlink" Target="#OCT!A1"/><Relationship Id="rId10" Type="http://schemas.openxmlformats.org/officeDocument/2006/relationships/hyperlink" Target="#JUL!A1"/><Relationship Id="rId4" Type="http://schemas.openxmlformats.org/officeDocument/2006/relationships/hyperlink" Target="#MAY!A1"/><Relationship Id="rId9" Type="http://schemas.openxmlformats.org/officeDocument/2006/relationships/hyperlink" Target="#JU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5240" y="15240"/>
          <a:ext cx="1821180" cy="692658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9797</xdr:colOff>
      <xdr:row>3</xdr:row>
      <xdr:rowOff>22859</xdr:rowOff>
    </xdr:from>
    <xdr:to>
      <xdr:col>4</xdr:col>
      <xdr:colOff>185057</xdr:colOff>
      <xdr:row>5</xdr:row>
      <xdr:rowOff>21770</xdr:rowOff>
    </xdr:to>
    <xdr:sp macro="" textlink="">
      <xdr:nvSpPr>
        <xdr:cNvPr id="3" name="Rounded Rectangl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19397" y="480059"/>
          <a:ext cx="2004060" cy="260168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4" name="Rounded Rectangl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2999" y="1133203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5" name="Rounded Rectangl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1694074"/>
          <a:ext cx="2004060" cy="33560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6" name="Rounded Rectangle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2809603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7" name="Rounded Rectangle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5582195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8" name="Rounded Rectangle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5005252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9" name="Rounded Rectangle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9733" y="2265316"/>
          <a:ext cx="2004060" cy="329838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0" name="Rounded Rectangle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6129745"/>
          <a:ext cx="2004060" cy="329838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1" name="Rounded Rectangl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3353888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2" name="Rounded Rectangle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3905795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3" name="Rounded Rectangle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4460966"/>
          <a:ext cx="2004060" cy="3298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4" name="Rounded Rectangle 13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6622869"/>
          <a:ext cx="2012705" cy="31133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2611319" y="59034"/>
          <a:ext cx="1392112" cy="265839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01-Jan-2026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4044522" y="59033"/>
          <a:ext cx="591945" cy="27322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35" name="TextBox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/>
      </xdr:nvSpPr>
      <xdr:spPr>
        <a:xfrm>
          <a:off x="4666847" y="57509"/>
          <a:ext cx="1398399" cy="266410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31-Jan-2026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7611229" y="36871"/>
          <a:ext cx="3258157" cy="3245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215117" y="43775"/>
          <a:ext cx="3545328" cy="30675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2</xdr:row>
      <xdr:rowOff>37284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6558" y="57150"/>
          <a:ext cx="283164" cy="293098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39" name="TextBox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January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0975522" y="19050"/>
          <a:ext cx="538842" cy="364671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18" name="Flowchart: Connector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11013622" y="157843"/>
          <a:ext cx="78921" cy="84364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11454493" y="21771"/>
          <a:ext cx="555171" cy="361950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11478986" y="166009"/>
          <a:ext cx="78921" cy="84364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11846379" y="24492"/>
          <a:ext cx="693964" cy="367393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6" name="Flowchart: Connector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11957958" y="168729"/>
          <a:ext cx="78921" cy="84364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6010</xdr:colOff>
      <xdr:row>3</xdr:row>
      <xdr:rowOff>1087</xdr:rowOff>
    </xdr:from>
    <xdr:to>
      <xdr:col>3</xdr:col>
      <xdr:colOff>181270</xdr:colOff>
      <xdr:row>4</xdr:row>
      <xdr:rowOff>130626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010" y="458287"/>
          <a:ext cx="2004060" cy="262061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609347</xdr:colOff>
      <xdr:row>6</xdr:row>
      <xdr:rowOff>49365</xdr:rowOff>
    </xdr:from>
    <xdr:to>
      <xdr:col>4</xdr:col>
      <xdr:colOff>175007</xdr:colOff>
      <xdr:row>8</xdr:row>
      <xdr:rowOff>1988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609347" y="904130"/>
          <a:ext cx="2004060" cy="283928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01-Feb-2026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28-Feb-2026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February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9116</xdr:colOff>
      <xdr:row>3</xdr:row>
      <xdr:rowOff>15375</xdr:rowOff>
    </xdr:from>
    <xdr:to>
      <xdr:col>3</xdr:col>
      <xdr:colOff>184376</xdr:colOff>
      <xdr:row>5</xdr:row>
      <xdr:rowOff>16327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9116" y="463050"/>
          <a:ext cx="2004060" cy="258127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504825</xdr:colOff>
      <xdr:row>9</xdr:row>
      <xdr:rowOff>9510</xdr:rowOff>
    </xdr:from>
    <xdr:to>
      <xdr:col>4</xdr:col>
      <xdr:colOff>70485</xdr:colOff>
      <xdr:row>10</xdr:row>
      <xdr:rowOff>152433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04825" y="1347773"/>
          <a:ext cx="2004060" cy="319135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01-Mar-2026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31-Mar-2026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March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31568</xdr:rowOff>
    </xdr:from>
    <xdr:to>
      <xdr:col>3</xdr:col>
      <xdr:colOff>175260</xdr:colOff>
      <xdr:row>5</xdr:row>
      <xdr:rowOff>31567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0" y="48114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543133</xdr:colOff>
      <xdr:row>12</xdr:row>
      <xdr:rowOff>59870</xdr:rowOff>
    </xdr:from>
    <xdr:to>
      <xdr:col>4</xdr:col>
      <xdr:colOff>108793</xdr:colOff>
      <xdr:row>14</xdr:row>
      <xdr:rowOff>19594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543133" y="1926770"/>
          <a:ext cx="2004060" cy="310244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01-Apr-2026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30-Apr-2026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April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4354</xdr:colOff>
      <xdr:row>3</xdr:row>
      <xdr:rowOff>39188</xdr:rowOff>
    </xdr:from>
    <xdr:to>
      <xdr:col>3</xdr:col>
      <xdr:colOff>179614</xdr:colOff>
      <xdr:row>5</xdr:row>
      <xdr:rowOff>39187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4354" y="48876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556260</xdr:colOff>
      <xdr:row>15</xdr:row>
      <xdr:rowOff>26126</xdr:rowOff>
    </xdr:from>
    <xdr:to>
      <xdr:col>4</xdr:col>
      <xdr:colOff>121920</xdr:colOff>
      <xdr:row>16</xdr:row>
      <xdr:rowOff>170906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556260" y="2418806"/>
          <a:ext cx="2004060" cy="32004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172918</xdr:colOff>
      <xdr:row>0</xdr:row>
      <xdr:rowOff>59034</xdr:rowOff>
    </xdr:from>
    <xdr:to>
      <xdr:col>7</xdr:col>
      <xdr:colOff>129539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2611318" y="59034"/>
          <a:ext cx="1419661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01-May-2026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31-May-2026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May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11974</xdr:colOff>
      <xdr:row>3</xdr:row>
      <xdr:rowOff>31568</xdr:rowOff>
    </xdr:from>
    <xdr:to>
      <xdr:col>3</xdr:col>
      <xdr:colOff>187234</xdr:colOff>
      <xdr:row>5</xdr:row>
      <xdr:rowOff>31567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974" y="48114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15240</xdr:colOff>
      <xdr:row>18</xdr:row>
      <xdr:rowOff>53339</xdr:rowOff>
    </xdr:from>
    <xdr:to>
      <xdr:col>4</xdr:col>
      <xdr:colOff>190500</xdr:colOff>
      <xdr:row>20</xdr:row>
      <xdr:rowOff>22859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624840" y="2971799"/>
          <a:ext cx="2004060" cy="32004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01-Jun-2026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30-Jun-2026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June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31568</xdr:rowOff>
    </xdr:from>
    <xdr:to>
      <xdr:col>3</xdr:col>
      <xdr:colOff>175260</xdr:colOff>
      <xdr:row>5</xdr:row>
      <xdr:rowOff>31567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0" y="48114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30480</xdr:colOff>
      <xdr:row>21</xdr:row>
      <xdr:rowOff>19595</xdr:rowOff>
    </xdr:from>
    <xdr:to>
      <xdr:col>4</xdr:col>
      <xdr:colOff>205740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640080" y="3463835"/>
          <a:ext cx="2004060" cy="32004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01-Jul-2026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31-Jul-2026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July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39188</xdr:rowOff>
    </xdr:from>
    <xdr:to>
      <xdr:col>3</xdr:col>
      <xdr:colOff>175260</xdr:colOff>
      <xdr:row>5</xdr:row>
      <xdr:rowOff>39187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0" y="48876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556260</xdr:colOff>
      <xdr:row>24</xdr:row>
      <xdr:rowOff>19595</xdr:rowOff>
    </xdr:from>
    <xdr:to>
      <xdr:col>4</xdr:col>
      <xdr:colOff>121920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556260" y="3989615"/>
          <a:ext cx="2004060" cy="320039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01-Aug-2026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31-Aug-2026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August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23948</xdr:rowOff>
    </xdr:from>
    <xdr:to>
      <xdr:col>3</xdr:col>
      <xdr:colOff>175260</xdr:colOff>
      <xdr:row>5</xdr:row>
      <xdr:rowOff>23947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0" y="47352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15240</xdr:colOff>
      <xdr:row>27</xdr:row>
      <xdr:rowOff>1089</xdr:rowOff>
    </xdr:from>
    <xdr:to>
      <xdr:col>4</xdr:col>
      <xdr:colOff>190500</xdr:colOff>
      <xdr:row>28</xdr:row>
      <xdr:rowOff>145869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624840" y="4496889"/>
          <a:ext cx="2004060" cy="32004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01-Sep-2026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30-Sep-2026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September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23948</xdr:rowOff>
    </xdr:from>
    <xdr:to>
      <xdr:col>3</xdr:col>
      <xdr:colOff>175260</xdr:colOff>
      <xdr:row>5</xdr:row>
      <xdr:rowOff>23947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47352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556260</xdr:colOff>
      <xdr:row>30</xdr:row>
      <xdr:rowOff>22861</xdr:rowOff>
    </xdr:from>
    <xdr:to>
      <xdr:col>4</xdr:col>
      <xdr:colOff>121920</xdr:colOff>
      <xdr:row>31</xdr:row>
      <xdr:rowOff>167641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556260" y="5044441"/>
          <a:ext cx="2004060" cy="320040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01-Oct-2026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31-Oct-2026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October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37</xdr:row>
      <xdr:rowOff>175260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5240" y="15240"/>
          <a:ext cx="1821180" cy="640842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11974</xdr:colOff>
      <xdr:row>3</xdr:row>
      <xdr:rowOff>31568</xdr:rowOff>
    </xdr:from>
    <xdr:to>
      <xdr:col>3</xdr:col>
      <xdr:colOff>187234</xdr:colOff>
      <xdr:row>5</xdr:row>
      <xdr:rowOff>31567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11974" y="48114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22860</xdr:colOff>
      <xdr:row>33</xdr:row>
      <xdr:rowOff>22859</xdr:rowOff>
    </xdr:from>
    <xdr:to>
      <xdr:col>4</xdr:col>
      <xdr:colOff>198120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632460" y="5570219"/>
          <a:ext cx="2004060" cy="320041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35</xdr:row>
      <xdr:rowOff>145869</xdr:rowOff>
    </xdr:from>
    <xdr:to>
      <xdr:col>3</xdr:col>
      <xdr:colOff>183905</xdr:colOff>
      <xdr:row>37</xdr:row>
      <xdr:rowOff>87086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/>
      </xdr:nvSpPr>
      <xdr:spPr>
        <a:xfrm>
          <a:off x="0" y="6043749"/>
          <a:ext cx="2012705" cy="291737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01-Nov-2026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30-Nov-2026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November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151695</xdr:colOff>
      <xdr:row>0</xdr:row>
      <xdr:rowOff>5442</xdr:rowOff>
    </xdr:from>
    <xdr:to>
      <xdr:col>41</xdr:col>
      <xdr:colOff>601980</xdr:colOff>
      <xdr:row>2</xdr:row>
      <xdr:rowOff>129539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/>
      </xdr:nvSpPr>
      <xdr:spPr>
        <a:xfrm>
          <a:off x="761295" y="5442"/>
          <a:ext cx="11727885" cy="436517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15240</xdr:colOff>
      <xdr:row>0</xdr:row>
      <xdr:rowOff>15240</xdr:rowOff>
    </xdr:from>
    <xdr:to>
      <xdr:col>3</xdr:col>
      <xdr:colOff>7620</xdr:colOff>
      <xdr:row>39</xdr:row>
      <xdr:rowOff>99060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5240" y="15240"/>
          <a:ext cx="1821180" cy="6652260"/>
        </a:xfrm>
        <a:prstGeom prst="rect">
          <a:avLst/>
        </a:prstGeom>
        <a:ln/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3</xdr:row>
      <xdr:rowOff>31568</xdr:rowOff>
    </xdr:from>
    <xdr:to>
      <xdr:col>3</xdr:col>
      <xdr:colOff>175260</xdr:colOff>
      <xdr:row>5</xdr:row>
      <xdr:rowOff>31567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0" y="481148"/>
          <a:ext cx="2004060" cy="259079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JANUARY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12999</xdr:colOff>
      <xdr:row>6</xdr:row>
      <xdr:rowOff>22860</xdr:rowOff>
    </xdr:from>
    <xdr:to>
      <xdr:col>3</xdr:col>
      <xdr:colOff>188259</xdr:colOff>
      <xdr:row>7</xdr:row>
      <xdr:rowOff>167640</xdr:rowOff>
    </xdr:to>
    <xdr:sp macro="" textlink="">
      <xdr:nvSpPr>
        <xdr:cNvPr id="5" name="Rounded Rectangle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2999" y="861060"/>
          <a:ext cx="2004060" cy="2819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FEBRUARY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9</xdr:row>
      <xdr:rowOff>28560</xdr:rowOff>
    </xdr:from>
    <xdr:to>
      <xdr:col>3</xdr:col>
      <xdr:colOff>175260</xdr:colOff>
      <xdr:row>10</xdr:row>
      <xdr:rowOff>179103</xdr:rowOff>
    </xdr:to>
    <xdr:sp macro="" textlink="">
      <xdr:nvSpPr>
        <xdr:cNvPr id="6" name="Rounded Rectangl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/>
      </xdr:nvSpPr>
      <xdr:spPr>
        <a:xfrm>
          <a:off x="0" y="1369680"/>
          <a:ext cx="2004060" cy="318183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MARCH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15</xdr:row>
      <xdr:rowOff>33746</xdr:rowOff>
    </xdr:from>
    <xdr:to>
      <xdr:col>3</xdr:col>
      <xdr:colOff>175260</xdr:colOff>
      <xdr:row>16</xdr:row>
      <xdr:rowOff>178526</xdr:rowOff>
    </xdr:to>
    <xdr:sp macro="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/>
      </xdr:nvSpPr>
      <xdr:spPr>
        <a:xfrm>
          <a:off x="0" y="2426426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MAY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30</xdr:row>
      <xdr:rowOff>30481</xdr:rowOff>
    </xdr:from>
    <xdr:to>
      <xdr:col>3</xdr:col>
      <xdr:colOff>175260</xdr:colOff>
      <xdr:row>31</xdr:row>
      <xdr:rowOff>175261</xdr:rowOff>
    </xdr:to>
    <xdr:sp macro="" textlink="">
      <xdr:nvSpPr>
        <xdr:cNvPr id="8" name="Rounded Rectangle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0" y="5052061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OCTOBER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27</xdr:row>
      <xdr:rowOff>8709</xdr:rowOff>
    </xdr:from>
    <xdr:to>
      <xdr:col>3</xdr:col>
      <xdr:colOff>175260</xdr:colOff>
      <xdr:row>28</xdr:row>
      <xdr:rowOff>153489</xdr:rowOff>
    </xdr:to>
    <xdr:sp macro="" textlink="">
      <xdr:nvSpPr>
        <xdr:cNvPr id="9" name="Rounded Rectangle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0" y="450450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SEPTEMBER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9733</xdr:colOff>
      <xdr:row>12</xdr:row>
      <xdr:rowOff>44630</xdr:rowOff>
    </xdr:from>
    <xdr:to>
      <xdr:col>3</xdr:col>
      <xdr:colOff>184993</xdr:colOff>
      <xdr:row>14</xdr:row>
      <xdr:rowOff>4354</xdr:rowOff>
    </xdr:to>
    <xdr:sp macro="" textlink="">
      <xdr:nvSpPr>
        <xdr:cNvPr id="10" name="Rounded Rectangle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9733" y="1911530"/>
          <a:ext cx="2004060" cy="310244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APRIL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22859</xdr:rowOff>
    </xdr:from>
    <xdr:to>
      <xdr:col>3</xdr:col>
      <xdr:colOff>175260</xdr:colOff>
      <xdr:row>34</xdr:row>
      <xdr:rowOff>167640</xdr:rowOff>
    </xdr:to>
    <xdr:sp macro="" textlink="">
      <xdr:nvSpPr>
        <xdr:cNvPr id="11" name="Rounded Rectangle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0" y="5570219"/>
          <a:ext cx="2004060" cy="320041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NOVEMBER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18</xdr:row>
      <xdr:rowOff>22859</xdr:rowOff>
    </xdr:from>
    <xdr:to>
      <xdr:col>3</xdr:col>
      <xdr:colOff>175260</xdr:colOff>
      <xdr:row>19</xdr:row>
      <xdr:rowOff>167639</xdr:rowOff>
    </xdr:to>
    <xdr:sp macro="" textlink="">
      <xdr:nvSpPr>
        <xdr:cNvPr id="12" name="Rounded Rectangl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0" y="2941319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JUNE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21</xdr:row>
      <xdr:rowOff>19595</xdr:rowOff>
    </xdr:from>
    <xdr:to>
      <xdr:col>3</xdr:col>
      <xdr:colOff>175260</xdr:colOff>
      <xdr:row>22</xdr:row>
      <xdr:rowOff>164375</xdr:rowOff>
    </xdr:to>
    <xdr:sp macro="" textlink="">
      <xdr:nvSpPr>
        <xdr:cNvPr id="13" name="Rounded Rectangle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0" y="3463835"/>
          <a:ext cx="2004060" cy="320040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JULY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24</xdr:row>
      <xdr:rowOff>19595</xdr:rowOff>
    </xdr:from>
    <xdr:to>
      <xdr:col>3</xdr:col>
      <xdr:colOff>175260</xdr:colOff>
      <xdr:row>25</xdr:row>
      <xdr:rowOff>164374</xdr:rowOff>
    </xdr:to>
    <xdr:sp macro="" textlink="">
      <xdr:nvSpPr>
        <xdr:cNvPr id="14" name="Rounded Rectangle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0" y="3989615"/>
          <a:ext cx="2004060" cy="320039"/>
        </a:xfrm>
        <a:prstGeom prst="roundRect">
          <a:avLst/>
        </a:prstGeom>
        <a:solidFill>
          <a:schemeClr val="bg2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AUGUST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144780</xdr:colOff>
      <xdr:row>36</xdr:row>
      <xdr:rowOff>92529</xdr:rowOff>
    </xdr:from>
    <xdr:to>
      <xdr:col>4</xdr:col>
      <xdr:colOff>328685</xdr:colOff>
      <xdr:row>38</xdr:row>
      <xdr:rowOff>26126</xdr:rowOff>
    </xdr:to>
    <xdr:sp macro="" textlink="">
      <xdr:nvSpPr>
        <xdr:cNvPr id="15" name="Rounded Rectangle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>
          <a:off x="754380" y="6165669"/>
          <a:ext cx="2012705" cy="291737"/>
        </a:xfrm>
        <a:prstGeom prst="roundRect">
          <a:avLst/>
        </a:prstGeom>
        <a:solidFill>
          <a:srgbClr val="FFFF0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400" b="1">
              <a:solidFill>
                <a:sysClr val="windowText" lastClr="000000"/>
              </a:solidFill>
            </a:rPr>
            <a:t>DECEMBER</a:t>
          </a:r>
          <a:endParaRPr lang="en-I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7619</xdr:colOff>
      <xdr:row>0</xdr:row>
      <xdr:rowOff>62751</xdr:rowOff>
    </xdr:from>
    <xdr:to>
      <xdr:col>4</xdr:col>
      <xdr:colOff>141435</xdr:colOff>
      <xdr:row>2</xdr:row>
      <xdr:rowOff>17928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1836419" y="62751"/>
          <a:ext cx="743416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4</xdr:col>
      <xdr:colOff>172919</xdr:colOff>
      <xdr:row>0</xdr:row>
      <xdr:rowOff>59034</xdr:rowOff>
    </xdr:from>
    <xdr:to>
      <xdr:col>6</xdr:col>
      <xdr:colOff>345831</xdr:colOff>
      <xdr:row>2</xdr:row>
      <xdr:rowOff>14211</xdr:rowOff>
    </xdr:to>
    <xdr:sp macro="" textlink="$H$5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2611319" y="59034"/>
          <a:ext cx="1293052" cy="267597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F106387-57CA-4B53-9A0D-80D16D720736}" type="TxLink">
            <a:rPr lang="en-US" sz="1600" b="1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ctr"/>
            <a:t>01-Dec-2026</a:t>
          </a:fld>
          <a:endParaRPr lang="en-IN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141757</xdr:colOff>
      <xdr:row>0</xdr:row>
      <xdr:rowOff>59033</xdr:rowOff>
    </xdr:from>
    <xdr:to>
      <xdr:col>8</xdr:col>
      <xdr:colOff>117476</xdr:colOff>
      <xdr:row>2</xdr:row>
      <xdr:rowOff>14210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4043197" y="59033"/>
          <a:ext cx="592939" cy="267597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146605</xdr:colOff>
      <xdr:row>0</xdr:row>
      <xdr:rowOff>57509</xdr:rowOff>
    </xdr:from>
    <xdr:to>
      <xdr:col>13</xdr:col>
      <xdr:colOff>26755</xdr:colOff>
      <xdr:row>2</xdr:row>
      <xdr:rowOff>10493</xdr:rowOff>
    </xdr:to>
    <xdr:sp macro="" textlink="$L$5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4665265" y="57509"/>
          <a:ext cx="1396530" cy="265404"/>
        </a:xfrm>
        <a:prstGeom prst="rect">
          <a:avLst/>
        </a:prstGeom>
        <a:solidFill>
          <a:srgbClr val="92D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DA4C035-8015-4F03-82A4-5D82DDF21B87}" type="TxLink"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31-Dec-2026</a:t>
          </a:fld>
          <a:endParaRPr lang="en-IN" sz="2400" b="1"/>
        </a:p>
      </xdr:txBody>
    </xdr:sp>
    <xdr:clientData/>
  </xdr:twoCellAnchor>
  <xdr:twoCellAnchor>
    <xdr:from>
      <xdr:col>20</xdr:col>
      <xdr:colOff>108250</xdr:colOff>
      <xdr:row>0</xdr:row>
      <xdr:rowOff>36871</xdr:rowOff>
    </xdr:from>
    <xdr:to>
      <xdr:col>36</xdr:col>
      <xdr:colOff>95250</xdr:colOff>
      <xdr:row>2</xdr:row>
      <xdr:rowOff>48491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/>
      </xdr:nvSpPr>
      <xdr:spPr>
        <a:xfrm>
          <a:off x="7606330" y="36871"/>
          <a:ext cx="3255980" cy="32404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15600</xdr:colOff>
      <xdr:row>0</xdr:row>
      <xdr:rowOff>43775</xdr:rowOff>
    </xdr:from>
    <xdr:to>
      <xdr:col>30</xdr:col>
      <xdr:colOff>231132</xdr:colOff>
      <xdr:row>2</xdr:row>
      <xdr:rowOff>37107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6210660" y="43775"/>
          <a:ext cx="3537852" cy="30575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2000" b="1"/>
            <a:t>  Dashbord</a:t>
          </a:r>
          <a:r>
            <a:rPr lang="en-IN" sz="2000" b="1" baseline="0"/>
            <a:t> For the Month of</a:t>
          </a:r>
          <a:endParaRPr lang="en-IN" sz="2000" b="1"/>
        </a:p>
      </xdr:txBody>
    </xdr:sp>
    <xdr:clientData/>
  </xdr:twoCellAnchor>
  <xdr:twoCellAnchor editAs="oneCell">
    <xdr:from>
      <xdr:col>13</xdr:col>
      <xdr:colOff>157708</xdr:colOff>
      <xdr:row>0</xdr:row>
      <xdr:rowOff>57150</xdr:rowOff>
    </xdr:from>
    <xdr:to>
      <xdr:col>15</xdr:col>
      <xdr:colOff>97972</xdr:colOff>
      <xdr:row>1</xdr:row>
      <xdr:rowOff>128724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2748" y="57150"/>
          <a:ext cx="283164" cy="292554"/>
        </a:xfrm>
        <a:prstGeom prst="rect">
          <a:avLst/>
        </a:prstGeom>
      </xdr:spPr>
    </xdr:pic>
    <xdr:clientData/>
  </xdr:twoCellAnchor>
  <xdr:twoCellAnchor>
    <xdr:from>
      <xdr:col>29</xdr:col>
      <xdr:colOff>32910</xdr:colOff>
      <xdr:row>0</xdr:row>
      <xdr:rowOff>43157</xdr:rowOff>
    </xdr:from>
    <xdr:to>
      <xdr:col>36</xdr:col>
      <xdr:colOff>91440</xdr:colOff>
      <xdr:row>2</xdr:row>
      <xdr:rowOff>41972</xdr:rowOff>
    </xdr:to>
    <xdr:sp macro="" textlink="$J$5">
      <xdr:nvSpPr>
        <xdr:cNvPr id="23" name="TextBox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SpPr txBox="1"/>
      </xdr:nvSpPr>
      <xdr:spPr>
        <a:xfrm>
          <a:off x="9336930" y="43157"/>
          <a:ext cx="1521570" cy="311235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BB0D705-86A0-4154-9371-2DACA1E91304}" type="TxLink">
            <a:rPr lang="en-US" sz="2000" b="1" i="0" u="none" strike="noStrike">
              <a:solidFill>
                <a:srgbClr val="0070C0"/>
              </a:solidFill>
              <a:latin typeface="Bell MT" panose="02020503060305020303" pitchFamily="18" charset="0"/>
              <a:ea typeface="Calibri"/>
              <a:cs typeface="Calibri"/>
            </a:rPr>
            <a:pPr algn="l"/>
            <a:t>December</a:t>
          </a:fld>
          <a:endParaRPr lang="en-IN" sz="3600" b="1">
            <a:solidFill>
              <a:srgbClr val="0070C0"/>
            </a:solidFill>
            <a:latin typeface="Bell MT" panose="02020503060305020303" pitchFamily="18" charset="0"/>
          </a:endParaRPr>
        </a:p>
      </xdr:txBody>
    </xdr:sp>
    <xdr:clientData/>
  </xdr:twoCellAnchor>
  <xdr:twoCellAnchor>
    <xdr:from>
      <xdr:col>36</xdr:col>
      <xdr:colOff>201386</xdr:colOff>
      <xdr:row>0</xdr:row>
      <xdr:rowOff>19050</xdr:rowOff>
    </xdr:from>
    <xdr:to>
      <xdr:col>39</xdr:col>
      <xdr:colOff>76200</xdr:colOff>
      <xdr:row>2</xdr:row>
      <xdr:rowOff>70757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B00-000018000000}"/>
            </a:ext>
          </a:extLst>
        </xdr:cNvPr>
        <xdr:cNvSpPr txBox="1"/>
      </xdr:nvSpPr>
      <xdr:spPr>
        <a:xfrm>
          <a:off x="10968446" y="19050"/>
          <a:ext cx="537754" cy="364127"/>
        </a:xfrm>
        <a:prstGeom prst="rect">
          <a:avLst/>
        </a:prstGeom>
        <a:solidFill>
          <a:schemeClr val="tx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Absent</a:t>
          </a:r>
        </a:p>
      </xdr:txBody>
    </xdr:sp>
    <xdr:clientData/>
  </xdr:twoCellAnchor>
  <xdr:twoCellAnchor>
    <xdr:from>
      <xdr:col>37</xdr:col>
      <xdr:colOff>27215</xdr:colOff>
      <xdr:row>0</xdr:row>
      <xdr:rowOff>157843</xdr:rowOff>
    </xdr:from>
    <xdr:to>
      <xdr:col>37</xdr:col>
      <xdr:colOff>106136</xdr:colOff>
      <xdr:row>1</xdr:row>
      <xdr:rowOff>59871</xdr:rowOff>
    </xdr:to>
    <xdr:sp macro="" textlink="">
      <xdr:nvSpPr>
        <xdr:cNvPr id="25" name="Flowchart: Connector 24">
          <a:extLst>
            <a:ext uri="{FF2B5EF4-FFF2-40B4-BE49-F238E27FC236}">
              <a16:creationId xmlns:a16="http://schemas.microsoft.com/office/drawing/2014/main" id="{00000000-0008-0000-0B00-000019000000}"/>
            </a:ext>
          </a:extLst>
        </xdr:cNvPr>
        <xdr:cNvSpPr/>
      </xdr:nvSpPr>
      <xdr:spPr>
        <a:xfrm>
          <a:off x="11007635" y="157843"/>
          <a:ext cx="78921" cy="84908"/>
        </a:xfrm>
        <a:prstGeom prst="flowChartConnector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16329</xdr:colOff>
      <xdr:row>0</xdr:row>
      <xdr:rowOff>21771</xdr:rowOff>
    </xdr:from>
    <xdr:to>
      <xdr:col>41</xdr:col>
      <xdr:colOff>114300</xdr:colOff>
      <xdr:row>2</xdr:row>
      <xdr:rowOff>70757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B00-00001A000000}"/>
            </a:ext>
          </a:extLst>
        </xdr:cNvPr>
        <xdr:cNvSpPr txBox="1"/>
      </xdr:nvSpPr>
      <xdr:spPr>
        <a:xfrm>
          <a:off x="11446329" y="21771"/>
          <a:ext cx="555171" cy="361406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Present</a:t>
          </a:r>
        </a:p>
      </xdr:txBody>
    </xdr:sp>
    <xdr:clientData/>
  </xdr:twoCellAnchor>
  <xdr:twoCellAnchor>
    <xdr:from>
      <xdr:col>39</xdr:col>
      <xdr:colOff>40822</xdr:colOff>
      <xdr:row>0</xdr:row>
      <xdr:rowOff>166009</xdr:rowOff>
    </xdr:from>
    <xdr:to>
      <xdr:col>39</xdr:col>
      <xdr:colOff>119743</xdr:colOff>
      <xdr:row>1</xdr:row>
      <xdr:rowOff>68037</xdr:rowOff>
    </xdr:to>
    <xdr:sp macro="" textlink="">
      <xdr:nvSpPr>
        <xdr:cNvPr id="27" name="Flowchart: Connector 26">
          <a:extLst>
            <a:ext uri="{FF2B5EF4-FFF2-40B4-BE49-F238E27FC236}">
              <a16:creationId xmlns:a16="http://schemas.microsoft.com/office/drawing/2014/main" id="{00000000-0008-0000-0B00-00001B000000}"/>
            </a:ext>
          </a:extLst>
        </xdr:cNvPr>
        <xdr:cNvSpPr/>
      </xdr:nvSpPr>
      <xdr:spPr>
        <a:xfrm>
          <a:off x="11470822" y="166009"/>
          <a:ext cx="78921" cy="84908"/>
        </a:xfrm>
        <a:prstGeom prst="flowChartConnector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157843</xdr:colOff>
      <xdr:row>0</xdr:row>
      <xdr:rowOff>24492</xdr:rowOff>
    </xdr:from>
    <xdr:to>
      <xdr:col>42</xdr:col>
      <xdr:colOff>35379</xdr:colOff>
      <xdr:row>2</xdr:row>
      <xdr:rowOff>78921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B00-00001C000000}"/>
            </a:ext>
          </a:extLst>
        </xdr:cNvPr>
        <xdr:cNvSpPr txBox="1"/>
      </xdr:nvSpPr>
      <xdr:spPr>
        <a:xfrm>
          <a:off x="11839303" y="24492"/>
          <a:ext cx="692876" cy="366849"/>
        </a:xfrm>
        <a:prstGeom prst="rect">
          <a:avLst/>
        </a:prstGeom>
        <a:solidFill>
          <a:schemeClr val="tx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700" b="1">
              <a:solidFill>
                <a:schemeClr val="bg1"/>
              </a:solidFill>
            </a:rPr>
            <a:t>Leave</a:t>
          </a:r>
        </a:p>
      </xdr:txBody>
    </xdr:sp>
    <xdr:clientData/>
  </xdr:twoCellAnchor>
  <xdr:twoCellAnchor>
    <xdr:from>
      <xdr:col>41</xdr:col>
      <xdr:colOff>62594</xdr:colOff>
      <xdr:row>0</xdr:row>
      <xdr:rowOff>168729</xdr:rowOff>
    </xdr:from>
    <xdr:to>
      <xdr:col>41</xdr:col>
      <xdr:colOff>141515</xdr:colOff>
      <xdr:row>1</xdr:row>
      <xdr:rowOff>70757</xdr:rowOff>
    </xdr:to>
    <xdr:sp macro="" textlink="">
      <xdr:nvSpPr>
        <xdr:cNvPr id="29" name="Flowchart: Connector 28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SpPr/>
      </xdr:nvSpPr>
      <xdr:spPr>
        <a:xfrm>
          <a:off x="11949794" y="168729"/>
          <a:ext cx="78921" cy="84908"/>
        </a:xfrm>
        <a:prstGeom prst="flowChartConnector">
          <a:avLst/>
        </a:prstGeom>
        <a:solidFill>
          <a:srgbClr val="0000FF"/>
        </a:solidFill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an_repo" displayName="jan_repo" ref="AR8:BF38" totalsRowShown="0" headerRowDxfId="359" dataDxfId="357" headerRowBorderDxfId="358" tableBorderDxfId="356">
  <autoFilter ref="AR8:BF38" xr:uid="{00000000-0009-0000-0100-000001000000}">
    <filterColumn colId="0" hiddenButton="1"/>
    <filterColumn colId="1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5">
    <tableColumn id="1" xr3:uid="{00000000-0010-0000-0000-000001000000}" name="S No" dataDxfId="355"/>
    <tableColumn id="2" xr3:uid="{00000000-0010-0000-0000-000002000000}" name="Empoloyee id" dataDxfId="354"/>
    <tableColumn id="19" xr3:uid="{00000000-0010-0000-0000-000013000000}" name="Month" dataDxfId="353">
      <calculatedColumnFormula>$J$5</calculatedColumnFormula>
    </tableColumn>
    <tableColumn id="3" xr3:uid="{00000000-0010-0000-0000-000003000000}" name="Name" dataDxfId="352">
      <calculatedColumnFormula>I9</calculatedColumnFormula>
    </tableColumn>
    <tableColumn id="4" xr3:uid="{00000000-0010-0000-0000-000004000000}" name="Present" dataDxfId="351">
      <calculatedColumnFormula>COUNTIF($K9:$AO9,"*P*")</calculatedColumnFormula>
    </tableColumn>
    <tableColumn id="5" xr3:uid="{00000000-0010-0000-0000-000005000000}" name="Absent" dataDxfId="350">
      <calculatedColumnFormula>COUNTIF($K9:$AO9,"*A*")</calculatedColumnFormula>
    </tableColumn>
    <tableColumn id="6" xr3:uid="{00000000-0010-0000-0000-000006000000}" name="Leave" dataDxfId="349">
      <calculatedColumnFormula>COUNTIF($K9:$AO9,"L")</calculatedColumnFormula>
    </tableColumn>
    <tableColumn id="7" xr3:uid="{00000000-0010-0000-0000-000007000000}" name="Weekoff" dataDxfId="348">
      <calculatedColumnFormula>J9</calculatedColumnFormula>
    </tableColumn>
    <tableColumn id="8" xr3:uid="{00000000-0010-0000-0000-000008000000}" name="Days" dataDxfId="347">
      <calculatedColumnFormula>$I$5</calculatedColumnFormula>
    </tableColumn>
    <tableColumn id="9" xr3:uid="{00000000-0010-0000-0000-000009000000}" name="Paid Days" dataDxfId="346">
      <calculatedColumnFormula>jan_repo[[#This Row],[Days]]-jan_repo[[#This Row],[Absent]]</calculatedColumnFormula>
    </tableColumn>
    <tableColumn id="10" xr3:uid="{00000000-0010-0000-0000-00000A000000}" name="Salary" dataDxfId="345"/>
    <tableColumn id="11" xr3:uid="{00000000-0010-0000-0000-00000B000000}" name="Per Day Salary" dataDxfId="344">
      <calculatedColumnFormula>jan_repo[[#This Row],[Salary]]/jan_repo[[#This Row],[Days]]</calculatedColumnFormula>
    </tableColumn>
    <tableColumn id="12" xr3:uid="{00000000-0010-0000-0000-00000C000000}" name="Deduction" dataDxfId="343">
      <calculatedColumnFormula>jan_repo[[#This Row],[Per Day Salary]]*jan_repo[[#This Row],[Absent]]</calculatedColumnFormula>
    </tableColumn>
    <tableColumn id="13" xr3:uid="{00000000-0010-0000-0000-00000D000000}" name="Total Salary" dataDxfId="342">
      <calculatedColumnFormula>jan_repo[[#This Row],[Salary]]-jan_repo[[#This Row],[Deduction]]</calculatedColumnFormula>
    </tableColumn>
    <tableColumn id="16" xr3:uid="{00000000-0010-0000-0000-000010000000}" name="Sparkline" dataDxfId="3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b_repo" displayName="feb_repo" ref="AR8:BF38" totalsRowShown="0" headerRowDxfId="328" dataDxfId="326" headerRowBorderDxfId="327" tableBorderDxfId="325">
  <autoFilter ref="AR8:BF38" xr:uid="{00000000-0009-0000-0100-000002000000}"/>
  <tableColumns count="15">
    <tableColumn id="1" xr3:uid="{00000000-0010-0000-0100-000001000000}" name="S No" dataDxfId="324"/>
    <tableColumn id="2" xr3:uid="{00000000-0010-0000-0100-000002000000}" name="Empoloyee id" dataDxfId="323"/>
    <tableColumn id="19" xr3:uid="{00000000-0010-0000-0100-000013000000}" name="Month" dataDxfId="322">
      <calculatedColumnFormula>$J$5</calculatedColumnFormula>
    </tableColumn>
    <tableColumn id="3" xr3:uid="{00000000-0010-0000-0100-000003000000}" name="Name" dataDxfId="321">
      <calculatedColumnFormula>I9</calculatedColumnFormula>
    </tableColumn>
    <tableColumn id="4" xr3:uid="{00000000-0010-0000-0100-000004000000}" name="Present" dataDxfId="320">
      <calculatedColumnFormula>COUNTIF($K9:$AO9,"*P*")</calculatedColumnFormula>
    </tableColumn>
    <tableColumn id="5" xr3:uid="{00000000-0010-0000-0100-000005000000}" name="Absent" dataDxfId="319">
      <calculatedColumnFormula>COUNTIF($K9:$AO9,"*A*")</calculatedColumnFormula>
    </tableColumn>
    <tableColumn id="6" xr3:uid="{00000000-0010-0000-0100-000006000000}" name="Leave" dataDxfId="318">
      <calculatedColumnFormula>COUNTIF($K9:$AO9,"L")</calculatedColumnFormula>
    </tableColumn>
    <tableColumn id="7" xr3:uid="{00000000-0010-0000-0100-000007000000}" name="Weekoff" dataDxfId="317">
      <calculatedColumnFormula>J9</calculatedColumnFormula>
    </tableColumn>
    <tableColumn id="8" xr3:uid="{00000000-0010-0000-0100-000008000000}" name="Days" dataDxfId="316">
      <calculatedColumnFormula>$I$5</calculatedColumnFormula>
    </tableColumn>
    <tableColumn id="9" xr3:uid="{00000000-0010-0000-0100-000009000000}" name="Paid Days" dataDxfId="315">
      <calculatedColumnFormula>feb_repo[[#This Row],[Days]]-feb_repo[[#This Row],[Absent]]</calculatedColumnFormula>
    </tableColumn>
    <tableColumn id="10" xr3:uid="{00000000-0010-0000-0100-00000A000000}" name="Salary" dataDxfId="314"/>
    <tableColumn id="11" xr3:uid="{00000000-0010-0000-0100-00000B000000}" name="Per Day Salary" dataDxfId="313">
      <calculatedColumnFormula>feb_repo[[#This Row],[Salary]]/feb_repo[[#This Row],[Days]]</calculatedColumnFormula>
    </tableColumn>
    <tableColumn id="12" xr3:uid="{00000000-0010-0000-0100-00000C000000}" name="Deduction" dataDxfId="312">
      <calculatedColumnFormula>feb_repo[[#This Row],[Per Day Salary]]*feb_repo[[#This Row],[Absent]]</calculatedColumnFormula>
    </tableColumn>
    <tableColumn id="13" xr3:uid="{00000000-0010-0000-0100-00000D000000}" name="Total Salary" dataDxfId="311">
      <calculatedColumnFormula>feb_repo[[#This Row],[Salary]]-feb_repo[[#This Row],[Deduction]]</calculatedColumnFormula>
    </tableColumn>
    <tableColumn id="16" xr3:uid="{00000000-0010-0000-0100-000010000000}" name="Sparkline" dataDxfId="310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r_repo" displayName="mar_repo" ref="AR8:BF38" totalsRowShown="0" headerRowDxfId="297" dataDxfId="295" headerRowBorderDxfId="296" tableBorderDxfId="294">
  <autoFilter ref="AR8:BF38" xr:uid="{00000000-0009-0000-0100-000003000000}"/>
  <tableColumns count="15">
    <tableColumn id="1" xr3:uid="{00000000-0010-0000-0200-000001000000}" name="S No" dataDxfId="293"/>
    <tableColumn id="2" xr3:uid="{00000000-0010-0000-0200-000002000000}" name="Empoloyee id" dataDxfId="292"/>
    <tableColumn id="19" xr3:uid="{00000000-0010-0000-0200-000013000000}" name="Month" dataDxfId="291">
      <calculatedColumnFormula>$J$5</calculatedColumnFormula>
    </tableColumn>
    <tableColumn id="3" xr3:uid="{00000000-0010-0000-0200-000003000000}" name="Name" dataDxfId="290">
      <calculatedColumnFormula>I9</calculatedColumnFormula>
    </tableColumn>
    <tableColumn id="4" xr3:uid="{00000000-0010-0000-0200-000004000000}" name="Present" dataDxfId="289">
      <calculatedColumnFormula>COUNTIF($K9:$AO9,"*P*")</calculatedColumnFormula>
    </tableColumn>
    <tableColumn id="5" xr3:uid="{00000000-0010-0000-0200-000005000000}" name="Absent" dataDxfId="288">
      <calculatedColumnFormula>COUNTIF($K9:$AO9,"*A*")</calculatedColumnFormula>
    </tableColumn>
    <tableColumn id="6" xr3:uid="{00000000-0010-0000-0200-000006000000}" name="Leave" dataDxfId="287">
      <calculatedColumnFormula>COUNTIF($K9:$AO9,"L")</calculatedColumnFormula>
    </tableColumn>
    <tableColumn id="7" xr3:uid="{00000000-0010-0000-0200-000007000000}" name="Weekoff" dataDxfId="286">
      <calculatedColumnFormula>J9</calculatedColumnFormula>
    </tableColumn>
    <tableColumn id="8" xr3:uid="{00000000-0010-0000-0200-000008000000}" name="Days" dataDxfId="285">
      <calculatedColumnFormula>$I$5</calculatedColumnFormula>
    </tableColumn>
    <tableColumn id="9" xr3:uid="{00000000-0010-0000-0200-000009000000}" name="Paid Days" dataDxfId="284">
      <calculatedColumnFormula>mar_repo[[#This Row],[Days]]-mar_repo[[#This Row],[Absent]]</calculatedColumnFormula>
    </tableColumn>
    <tableColumn id="10" xr3:uid="{00000000-0010-0000-0200-00000A000000}" name="Salary" dataDxfId="283"/>
    <tableColumn id="11" xr3:uid="{00000000-0010-0000-0200-00000B000000}" name="Per Day Salary" dataDxfId="282">
      <calculatedColumnFormula>mar_repo[[#This Row],[Salary]]/mar_repo[[#This Row],[Days]]</calculatedColumnFormula>
    </tableColumn>
    <tableColumn id="12" xr3:uid="{00000000-0010-0000-0200-00000C000000}" name="Deduction" dataDxfId="281">
      <calculatedColumnFormula>mar_repo[[#This Row],[Per Day Salary]]*mar_repo[[#This Row],[Absent]]</calculatedColumnFormula>
    </tableColumn>
    <tableColumn id="13" xr3:uid="{00000000-0010-0000-0200-00000D000000}" name="Total Salary" dataDxfId="280">
      <calculatedColumnFormula>mar_repo[[#This Row],[Salary]]-mar_repo[[#This Row],[Deduction]]</calculatedColumnFormula>
    </tableColumn>
    <tableColumn id="16" xr3:uid="{00000000-0010-0000-0200-000010000000}" name="Sparkline" dataDxfId="279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r_repo" displayName="apr_repo" ref="AR8:BF38" totalsRowShown="0" headerRowDxfId="266" dataDxfId="264" headerRowBorderDxfId="265" tableBorderDxfId="263">
  <autoFilter ref="AR8:BF38" xr:uid="{00000000-0009-0000-0100-000004000000}"/>
  <tableColumns count="15">
    <tableColumn id="1" xr3:uid="{00000000-0010-0000-0300-000001000000}" name="S No" dataDxfId="262"/>
    <tableColumn id="2" xr3:uid="{00000000-0010-0000-0300-000002000000}" name="Empoloyee id" dataDxfId="261"/>
    <tableColumn id="19" xr3:uid="{00000000-0010-0000-0300-000013000000}" name="Month" dataDxfId="260">
      <calculatedColumnFormula>$J$5</calculatedColumnFormula>
    </tableColumn>
    <tableColumn id="3" xr3:uid="{00000000-0010-0000-0300-000003000000}" name="Name" dataDxfId="259">
      <calculatedColumnFormula>I9</calculatedColumnFormula>
    </tableColumn>
    <tableColumn id="4" xr3:uid="{00000000-0010-0000-0300-000004000000}" name="Present" dataDxfId="258">
      <calculatedColumnFormula>COUNTIF($K9:$AO9,"*P*")</calculatedColumnFormula>
    </tableColumn>
    <tableColumn id="5" xr3:uid="{00000000-0010-0000-0300-000005000000}" name="Absent" dataDxfId="257">
      <calculatedColumnFormula>COUNTIF($K9:$AO9,"*A*")</calculatedColumnFormula>
    </tableColumn>
    <tableColumn id="6" xr3:uid="{00000000-0010-0000-0300-000006000000}" name="Leave" dataDxfId="256">
      <calculatedColumnFormula>COUNTIF($K9:$AO9,"L")</calculatedColumnFormula>
    </tableColumn>
    <tableColumn id="7" xr3:uid="{00000000-0010-0000-0300-000007000000}" name="Weekoff" dataDxfId="255">
      <calculatedColumnFormula>J9</calculatedColumnFormula>
    </tableColumn>
    <tableColumn id="8" xr3:uid="{00000000-0010-0000-0300-000008000000}" name="Days" dataDxfId="254">
      <calculatedColumnFormula>$I$5</calculatedColumnFormula>
    </tableColumn>
    <tableColumn id="9" xr3:uid="{00000000-0010-0000-0300-000009000000}" name="Paid Days" dataDxfId="253">
      <calculatedColumnFormula>apr_repo[[#This Row],[Days]]-apr_repo[[#This Row],[Absent]]</calculatedColumnFormula>
    </tableColumn>
    <tableColumn id="10" xr3:uid="{00000000-0010-0000-0300-00000A000000}" name="Salary" dataDxfId="252"/>
    <tableColumn id="11" xr3:uid="{00000000-0010-0000-0300-00000B000000}" name="Per Day Salary" dataDxfId="251">
      <calculatedColumnFormula>apr_repo[[#This Row],[Salary]]/apr_repo[[#This Row],[Days]]</calculatedColumnFormula>
    </tableColumn>
    <tableColumn id="12" xr3:uid="{00000000-0010-0000-0300-00000C000000}" name="Deduction" dataDxfId="250">
      <calculatedColumnFormula>apr_repo[[#This Row],[Per Day Salary]]*apr_repo[[#This Row],[Absent]]</calculatedColumnFormula>
    </tableColumn>
    <tableColumn id="13" xr3:uid="{00000000-0010-0000-0300-00000D000000}" name="Total Salary" dataDxfId="249">
      <calculatedColumnFormula>apr_repo[[#This Row],[Salary]]-apr_repo[[#This Row],[Deduction]]</calculatedColumnFormula>
    </tableColumn>
    <tableColumn id="16" xr3:uid="{00000000-0010-0000-0300-000010000000}" name="Sparkline" dataDxfId="248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ay_repo" displayName="may_repo" ref="AR8:BF38" totalsRowShown="0" headerRowDxfId="235" dataDxfId="233" headerRowBorderDxfId="234" tableBorderDxfId="232">
  <autoFilter ref="AR8:BF38" xr:uid="{00000000-0009-0000-0100-000005000000}"/>
  <tableColumns count="15">
    <tableColumn id="1" xr3:uid="{00000000-0010-0000-0400-000001000000}" name="S No" dataDxfId="231"/>
    <tableColumn id="2" xr3:uid="{00000000-0010-0000-0400-000002000000}" name="Empoloyee id" dataDxfId="230"/>
    <tableColumn id="19" xr3:uid="{00000000-0010-0000-0400-000013000000}" name="Month" dataDxfId="229">
      <calculatedColumnFormula>$J$5</calculatedColumnFormula>
    </tableColumn>
    <tableColumn id="3" xr3:uid="{00000000-0010-0000-0400-000003000000}" name="Name" dataDxfId="228">
      <calculatedColumnFormula>I9</calculatedColumnFormula>
    </tableColumn>
    <tableColumn id="4" xr3:uid="{00000000-0010-0000-0400-000004000000}" name="Present" dataDxfId="227">
      <calculatedColumnFormula>COUNTIF($K9:$AO9,"*P*")</calculatedColumnFormula>
    </tableColumn>
    <tableColumn id="5" xr3:uid="{00000000-0010-0000-0400-000005000000}" name="Absent" dataDxfId="226">
      <calculatedColumnFormula>COUNTIF($K9:$AO9,"*A*")</calculatedColumnFormula>
    </tableColumn>
    <tableColumn id="6" xr3:uid="{00000000-0010-0000-0400-000006000000}" name="Leave" dataDxfId="225">
      <calculatedColumnFormula>COUNTIF($K9:$AO9,"L")</calculatedColumnFormula>
    </tableColumn>
    <tableColumn id="7" xr3:uid="{00000000-0010-0000-0400-000007000000}" name="Weekoff" dataDxfId="224">
      <calculatedColumnFormula>J9</calculatedColumnFormula>
    </tableColumn>
    <tableColumn id="8" xr3:uid="{00000000-0010-0000-0400-000008000000}" name="Days" dataDxfId="223">
      <calculatedColumnFormula>$I$5</calculatedColumnFormula>
    </tableColumn>
    <tableColumn id="9" xr3:uid="{00000000-0010-0000-0400-000009000000}" name="Paid Days" dataDxfId="222">
      <calculatedColumnFormula>may_repo[[#This Row],[Days]]-may_repo[[#This Row],[Absent]]</calculatedColumnFormula>
    </tableColumn>
    <tableColumn id="10" xr3:uid="{00000000-0010-0000-0400-00000A000000}" name="Salary" dataDxfId="221"/>
    <tableColumn id="11" xr3:uid="{00000000-0010-0000-0400-00000B000000}" name="Per Day Salary" dataDxfId="220">
      <calculatedColumnFormula>may_repo[[#This Row],[Salary]]/may_repo[[#This Row],[Days]]</calculatedColumnFormula>
    </tableColumn>
    <tableColumn id="12" xr3:uid="{00000000-0010-0000-0400-00000C000000}" name="Deduction" dataDxfId="219">
      <calculatedColumnFormula>may_repo[[#This Row],[Per Day Salary]]*may_repo[[#This Row],[Absent]]</calculatedColumnFormula>
    </tableColumn>
    <tableColumn id="13" xr3:uid="{00000000-0010-0000-0400-00000D000000}" name="Total Salary" dataDxfId="218">
      <calculatedColumnFormula>may_repo[[#This Row],[Salary]]-may_repo[[#This Row],[Deduction]]</calculatedColumnFormula>
    </tableColumn>
    <tableColumn id="16" xr3:uid="{00000000-0010-0000-0400-000010000000}" name="Sparkline" dataDxfId="21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jun_repo" displayName="jun_repo" ref="AR8:BF38" totalsRowShown="0" headerRowDxfId="204" dataDxfId="202" headerRowBorderDxfId="203" tableBorderDxfId="201">
  <autoFilter ref="AR8:BF38" xr:uid="{00000000-0009-0000-0100-000006000000}"/>
  <tableColumns count="15">
    <tableColumn id="1" xr3:uid="{00000000-0010-0000-0500-000001000000}" name="S No" dataDxfId="200"/>
    <tableColumn id="2" xr3:uid="{00000000-0010-0000-0500-000002000000}" name="Empoloyee id" dataDxfId="199"/>
    <tableColumn id="19" xr3:uid="{00000000-0010-0000-0500-000013000000}" name="Month" dataDxfId="198">
      <calculatedColumnFormula>$J$5</calculatedColumnFormula>
    </tableColumn>
    <tableColumn id="3" xr3:uid="{00000000-0010-0000-0500-000003000000}" name="Name" dataDxfId="197">
      <calculatedColumnFormula>I9</calculatedColumnFormula>
    </tableColumn>
    <tableColumn id="4" xr3:uid="{00000000-0010-0000-0500-000004000000}" name="Present" dataDxfId="196">
      <calculatedColumnFormula>COUNTIF($K9:$AO9,"*P*")</calculatedColumnFormula>
    </tableColumn>
    <tableColumn id="5" xr3:uid="{00000000-0010-0000-0500-000005000000}" name="Absent" dataDxfId="195">
      <calculatedColumnFormula>COUNTIF($K9:$AO9,"*A*")</calculatedColumnFormula>
    </tableColumn>
    <tableColumn id="6" xr3:uid="{00000000-0010-0000-0500-000006000000}" name="Leave" dataDxfId="194">
      <calculatedColumnFormula>COUNTIF($K9:$AO9,"L")</calculatedColumnFormula>
    </tableColumn>
    <tableColumn id="7" xr3:uid="{00000000-0010-0000-0500-000007000000}" name="Weekoff" dataDxfId="193">
      <calculatedColumnFormula>J9</calculatedColumnFormula>
    </tableColumn>
    <tableColumn id="8" xr3:uid="{00000000-0010-0000-0500-000008000000}" name="Days" dataDxfId="192">
      <calculatedColumnFormula>$I$5</calculatedColumnFormula>
    </tableColumn>
    <tableColumn id="9" xr3:uid="{00000000-0010-0000-0500-000009000000}" name="Paid Days" dataDxfId="191">
      <calculatedColumnFormula>jun_repo[[#This Row],[Days]]-jun_repo[[#This Row],[Absent]]</calculatedColumnFormula>
    </tableColumn>
    <tableColumn id="10" xr3:uid="{00000000-0010-0000-0500-00000A000000}" name="Salary" dataDxfId="190"/>
    <tableColumn id="11" xr3:uid="{00000000-0010-0000-0500-00000B000000}" name="Per Day Salary" dataDxfId="189">
      <calculatedColumnFormula>jun_repo[[#This Row],[Salary]]/jun_repo[[#This Row],[Days]]</calculatedColumnFormula>
    </tableColumn>
    <tableColumn id="12" xr3:uid="{00000000-0010-0000-0500-00000C000000}" name="Deduction" dataDxfId="188">
      <calculatedColumnFormula>jun_repo[[#This Row],[Per Day Salary]]*jun_repo[[#This Row],[Absent]]</calculatedColumnFormula>
    </tableColumn>
    <tableColumn id="13" xr3:uid="{00000000-0010-0000-0500-00000D000000}" name="Total Salary" dataDxfId="187">
      <calculatedColumnFormula>jun_repo[[#This Row],[Salary]]-jun_repo[[#This Row],[Deduction]]</calculatedColumnFormula>
    </tableColumn>
    <tableColumn id="16" xr3:uid="{00000000-0010-0000-0500-000010000000}" name="Sparkline" dataDxfId="186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jul_repo" displayName="jul_repo" ref="AR8:BF38" totalsRowShown="0" headerRowDxfId="173" dataDxfId="171" headerRowBorderDxfId="172" tableBorderDxfId="170">
  <autoFilter ref="AR8:BF38" xr:uid="{00000000-0009-0000-0100-000007000000}"/>
  <tableColumns count="15">
    <tableColumn id="1" xr3:uid="{00000000-0010-0000-0600-000001000000}" name="S No" dataDxfId="169"/>
    <tableColumn id="2" xr3:uid="{00000000-0010-0000-0600-000002000000}" name="Empoloyee id" dataDxfId="168"/>
    <tableColumn id="19" xr3:uid="{00000000-0010-0000-0600-000013000000}" name="Month" dataDxfId="167">
      <calculatedColumnFormula>$J$5</calculatedColumnFormula>
    </tableColumn>
    <tableColumn id="3" xr3:uid="{00000000-0010-0000-0600-000003000000}" name="Name" dataDxfId="166">
      <calculatedColumnFormula>I9</calculatedColumnFormula>
    </tableColumn>
    <tableColumn id="4" xr3:uid="{00000000-0010-0000-0600-000004000000}" name="Present" dataDxfId="165">
      <calculatedColumnFormula>COUNTIF($K9:$AO9,"*P*")</calculatedColumnFormula>
    </tableColumn>
    <tableColumn id="5" xr3:uid="{00000000-0010-0000-0600-000005000000}" name="Absent" dataDxfId="164">
      <calculatedColumnFormula>COUNTIF($K9:$AO9,"*A*")</calculatedColumnFormula>
    </tableColumn>
    <tableColumn id="6" xr3:uid="{00000000-0010-0000-0600-000006000000}" name="Leave" dataDxfId="163">
      <calculatedColumnFormula>COUNTIF($K9:$AO9,"L")</calculatedColumnFormula>
    </tableColumn>
    <tableColumn id="7" xr3:uid="{00000000-0010-0000-0600-000007000000}" name="Weekoff" dataDxfId="162">
      <calculatedColumnFormula>J9</calculatedColumnFormula>
    </tableColumn>
    <tableColumn id="8" xr3:uid="{00000000-0010-0000-0600-000008000000}" name="Days" dataDxfId="161">
      <calculatedColumnFormula>$I$5</calculatedColumnFormula>
    </tableColumn>
    <tableColumn id="9" xr3:uid="{00000000-0010-0000-0600-000009000000}" name="Paid Days" dataDxfId="160">
      <calculatedColumnFormula>jul_repo[[#This Row],[Days]]-jul_repo[[#This Row],[Absent]]</calculatedColumnFormula>
    </tableColumn>
    <tableColumn id="10" xr3:uid="{00000000-0010-0000-0600-00000A000000}" name="Salary" dataDxfId="159"/>
    <tableColumn id="11" xr3:uid="{00000000-0010-0000-0600-00000B000000}" name="Per Day Salary" dataDxfId="158">
      <calculatedColumnFormula>jul_repo[[#This Row],[Salary]]/jul_repo[[#This Row],[Days]]</calculatedColumnFormula>
    </tableColumn>
    <tableColumn id="12" xr3:uid="{00000000-0010-0000-0600-00000C000000}" name="Deduction" dataDxfId="157">
      <calculatedColumnFormula>jul_repo[[#This Row],[Per Day Salary]]*jul_repo[[#This Row],[Absent]]</calculatedColumnFormula>
    </tableColumn>
    <tableColumn id="13" xr3:uid="{00000000-0010-0000-0600-00000D000000}" name="Total Salary" dataDxfId="156">
      <calculatedColumnFormula>jul_repo[[#This Row],[Salary]]-jul_repo[[#This Row],[Deduction]]</calculatedColumnFormula>
    </tableColumn>
    <tableColumn id="16" xr3:uid="{00000000-0010-0000-0600-000010000000}" name="Sparkline" dataDxfId="155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ug_repo" displayName="aug_repo" ref="AR8:BF38" totalsRowShown="0" headerRowDxfId="142" dataDxfId="140" headerRowBorderDxfId="141" tableBorderDxfId="139">
  <autoFilter ref="AR8:BF38" xr:uid="{00000000-0009-0000-0100-000008000000}"/>
  <tableColumns count="15">
    <tableColumn id="1" xr3:uid="{00000000-0010-0000-0700-000001000000}" name="S No" dataDxfId="138"/>
    <tableColumn id="2" xr3:uid="{00000000-0010-0000-0700-000002000000}" name="Empoloyee id" dataDxfId="137"/>
    <tableColumn id="19" xr3:uid="{00000000-0010-0000-0700-000013000000}" name="Month" dataDxfId="136">
      <calculatedColumnFormula>$J$5</calculatedColumnFormula>
    </tableColumn>
    <tableColumn id="3" xr3:uid="{00000000-0010-0000-0700-000003000000}" name="Name" dataDxfId="135">
      <calculatedColumnFormula>I9</calculatedColumnFormula>
    </tableColumn>
    <tableColumn id="4" xr3:uid="{00000000-0010-0000-0700-000004000000}" name="Present" dataDxfId="134">
      <calculatedColumnFormula>COUNTIF($K9:$AO9,"*P*")</calculatedColumnFormula>
    </tableColumn>
    <tableColumn id="5" xr3:uid="{00000000-0010-0000-0700-000005000000}" name="Absent" dataDxfId="133">
      <calculatedColumnFormula>COUNTIF($K9:$AO9,"*A*")</calculatedColumnFormula>
    </tableColumn>
    <tableColumn id="6" xr3:uid="{00000000-0010-0000-0700-000006000000}" name="Leave" dataDxfId="132">
      <calculatedColumnFormula>COUNTIF($K9:$AO9,"L")</calculatedColumnFormula>
    </tableColumn>
    <tableColumn id="7" xr3:uid="{00000000-0010-0000-0700-000007000000}" name="Weekoff" dataDxfId="131">
      <calculatedColumnFormula>J9</calculatedColumnFormula>
    </tableColumn>
    <tableColumn id="8" xr3:uid="{00000000-0010-0000-0700-000008000000}" name="Days" dataDxfId="130">
      <calculatedColumnFormula>$I$5</calculatedColumnFormula>
    </tableColumn>
    <tableColumn id="9" xr3:uid="{00000000-0010-0000-0700-000009000000}" name="Paid Days" dataDxfId="129">
      <calculatedColumnFormula>aug_repo[[#This Row],[Days]]-aug_repo[[#This Row],[Absent]]</calculatedColumnFormula>
    </tableColumn>
    <tableColumn id="10" xr3:uid="{00000000-0010-0000-0700-00000A000000}" name="Salary" dataDxfId="128"/>
    <tableColumn id="11" xr3:uid="{00000000-0010-0000-0700-00000B000000}" name="Per Day Salary" dataDxfId="127">
      <calculatedColumnFormula>aug_repo[[#This Row],[Salary]]/aug_repo[[#This Row],[Days]]</calculatedColumnFormula>
    </tableColumn>
    <tableColumn id="12" xr3:uid="{00000000-0010-0000-0700-00000C000000}" name="Deduction" dataDxfId="126">
      <calculatedColumnFormula>aug_repo[[#This Row],[Per Day Salary]]*aug_repo[[#This Row],[Absent]]</calculatedColumnFormula>
    </tableColumn>
    <tableColumn id="13" xr3:uid="{00000000-0010-0000-0700-00000D000000}" name="Total Salary" dataDxfId="125">
      <calculatedColumnFormula>aug_repo[[#This Row],[Salary]]-aug_repo[[#This Row],[Deduction]]</calculatedColumnFormula>
    </tableColumn>
    <tableColumn id="16" xr3:uid="{00000000-0010-0000-0700-000010000000}" name="Sparkline" dataDxfId="124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p_repo" displayName="sep_repo" ref="AR8:BF38" totalsRowShown="0" headerRowDxfId="111" dataDxfId="109" headerRowBorderDxfId="110" tableBorderDxfId="108">
  <autoFilter ref="AR8:BF38" xr:uid="{00000000-0009-0000-0100-000009000000}"/>
  <tableColumns count="15">
    <tableColumn id="1" xr3:uid="{00000000-0010-0000-0800-000001000000}" name="S No" dataDxfId="107"/>
    <tableColumn id="2" xr3:uid="{00000000-0010-0000-0800-000002000000}" name="Empoloyee id" dataDxfId="106"/>
    <tableColumn id="19" xr3:uid="{00000000-0010-0000-0800-000013000000}" name="Month" dataDxfId="105">
      <calculatedColumnFormula>$J$5</calculatedColumnFormula>
    </tableColumn>
    <tableColumn id="3" xr3:uid="{00000000-0010-0000-0800-000003000000}" name="Name" dataDxfId="104">
      <calculatedColumnFormula>I9</calculatedColumnFormula>
    </tableColumn>
    <tableColumn id="4" xr3:uid="{00000000-0010-0000-0800-000004000000}" name="Present" dataDxfId="103">
      <calculatedColumnFormula>COUNTIF($K9:$AO9,"*P*")</calculatedColumnFormula>
    </tableColumn>
    <tableColumn id="5" xr3:uid="{00000000-0010-0000-0800-000005000000}" name="Absent" dataDxfId="102">
      <calculatedColumnFormula>COUNTIF($K9:$AO9,"*A*")</calculatedColumnFormula>
    </tableColumn>
    <tableColumn id="6" xr3:uid="{00000000-0010-0000-0800-000006000000}" name="Leave" dataDxfId="101">
      <calculatedColumnFormula>COUNTIF($K9:$AO9,"L")</calculatedColumnFormula>
    </tableColumn>
    <tableColumn id="7" xr3:uid="{00000000-0010-0000-0800-000007000000}" name="Weekoff" dataDxfId="100">
      <calculatedColumnFormula>J9</calculatedColumnFormula>
    </tableColumn>
    <tableColumn id="8" xr3:uid="{00000000-0010-0000-0800-000008000000}" name="Days" dataDxfId="99">
      <calculatedColumnFormula>$I$5</calculatedColumnFormula>
    </tableColumn>
    <tableColumn id="9" xr3:uid="{00000000-0010-0000-0800-000009000000}" name="Paid Days" dataDxfId="98">
      <calculatedColumnFormula>sep_repo[[#This Row],[Days]]-sep_repo[[#This Row],[Absent]]</calculatedColumnFormula>
    </tableColumn>
    <tableColumn id="10" xr3:uid="{00000000-0010-0000-0800-00000A000000}" name="Salary" dataDxfId="97"/>
    <tableColumn id="11" xr3:uid="{00000000-0010-0000-0800-00000B000000}" name="Per Day Salary" dataDxfId="96">
      <calculatedColumnFormula>sep_repo[[#This Row],[Salary]]/sep_repo[[#This Row],[Days]]</calculatedColumnFormula>
    </tableColumn>
    <tableColumn id="12" xr3:uid="{00000000-0010-0000-0800-00000C000000}" name="Deduction" dataDxfId="95">
      <calculatedColumnFormula>sep_repo[[#This Row],[Per Day Salary]]*sep_repo[[#This Row],[Absent]]</calculatedColumnFormula>
    </tableColumn>
    <tableColumn id="13" xr3:uid="{00000000-0010-0000-0800-00000D000000}" name="Total Salary" dataDxfId="94">
      <calculatedColumnFormula>sep_repo[[#This Row],[Salary]]-sep_repo[[#This Row],[Deduction]]</calculatedColumnFormula>
    </tableColumn>
    <tableColumn id="16" xr3:uid="{00000000-0010-0000-0800-000010000000}" name="Sparkline" dataDxfId="93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oct_repo" displayName="oct_repo" ref="AR8:BF38" totalsRowShown="0" headerRowDxfId="80" dataDxfId="78" headerRowBorderDxfId="79" tableBorderDxfId="77">
  <autoFilter ref="AR8:BF38" xr:uid="{00000000-0009-0000-0100-00000A000000}"/>
  <tableColumns count="15">
    <tableColumn id="1" xr3:uid="{00000000-0010-0000-0900-000001000000}" name="S No" dataDxfId="76"/>
    <tableColumn id="2" xr3:uid="{00000000-0010-0000-0900-000002000000}" name="Empoloyee id" dataDxfId="75"/>
    <tableColumn id="19" xr3:uid="{00000000-0010-0000-0900-000013000000}" name="Month" dataDxfId="74">
      <calculatedColumnFormula>$J$5</calculatedColumnFormula>
    </tableColumn>
    <tableColumn id="3" xr3:uid="{00000000-0010-0000-0900-000003000000}" name="Name" dataDxfId="73">
      <calculatedColumnFormula>I9</calculatedColumnFormula>
    </tableColumn>
    <tableColumn id="4" xr3:uid="{00000000-0010-0000-0900-000004000000}" name="Present" dataDxfId="72">
      <calculatedColumnFormula>COUNTIF($K9:$AO9,"*P*")</calculatedColumnFormula>
    </tableColumn>
    <tableColumn id="5" xr3:uid="{00000000-0010-0000-0900-000005000000}" name="Absent" dataDxfId="71">
      <calculatedColumnFormula>COUNTIF($K9:$AO9,"*A*")</calculatedColumnFormula>
    </tableColumn>
    <tableColumn id="6" xr3:uid="{00000000-0010-0000-0900-000006000000}" name="Leave" dataDxfId="70">
      <calculatedColumnFormula>COUNTIF($K9:$AO9,"L")</calculatedColumnFormula>
    </tableColumn>
    <tableColumn id="7" xr3:uid="{00000000-0010-0000-0900-000007000000}" name="Weekoff" dataDxfId="69">
      <calculatedColumnFormula>J9</calculatedColumnFormula>
    </tableColumn>
    <tableColumn id="8" xr3:uid="{00000000-0010-0000-0900-000008000000}" name="Days" dataDxfId="68">
      <calculatedColumnFormula>$I$5</calculatedColumnFormula>
    </tableColumn>
    <tableColumn id="9" xr3:uid="{00000000-0010-0000-0900-000009000000}" name="Paid Days" dataDxfId="67">
      <calculatedColumnFormula>oct_repo[[#This Row],[Days]]-oct_repo[[#This Row],[Absent]]</calculatedColumnFormula>
    </tableColumn>
    <tableColumn id="10" xr3:uid="{00000000-0010-0000-0900-00000A000000}" name="Salary" dataDxfId="66"/>
    <tableColumn id="11" xr3:uid="{00000000-0010-0000-0900-00000B000000}" name="Per Day Salary" dataDxfId="65">
      <calculatedColumnFormula>oct_repo[[#This Row],[Salary]]/oct_repo[[#This Row],[Days]]</calculatedColumnFormula>
    </tableColumn>
    <tableColumn id="12" xr3:uid="{00000000-0010-0000-0900-00000C000000}" name="Deduction" dataDxfId="64">
      <calculatedColumnFormula>oct_repo[[#This Row],[Per Day Salary]]*oct_repo[[#This Row],[Absent]]</calculatedColumnFormula>
    </tableColumn>
    <tableColumn id="13" xr3:uid="{00000000-0010-0000-0900-00000D000000}" name="Total Salary" dataDxfId="63">
      <calculatedColumnFormula>oct_repo[[#This Row],[Salary]]-oct_repo[[#This Row],[Deduction]]</calculatedColumnFormula>
    </tableColumn>
    <tableColumn id="16" xr3:uid="{00000000-0010-0000-0900-000010000000}" name="Sparkline" dataDxfId="62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nov_repo" displayName="nov_repo" ref="AR8:BF38" totalsRowShown="0" headerRowDxfId="49" dataDxfId="47" headerRowBorderDxfId="48" tableBorderDxfId="46">
  <autoFilter ref="AR8:BF38" xr:uid="{00000000-0009-0000-0100-00000B000000}"/>
  <tableColumns count="15">
    <tableColumn id="1" xr3:uid="{00000000-0010-0000-0A00-000001000000}" name="S No" dataDxfId="45"/>
    <tableColumn id="2" xr3:uid="{00000000-0010-0000-0A00-000002000000}" name="Empoloyee id" dataDxfId="44"/>
    <tableColumn id="19" xr3:uid="{00000000-0010-0000-0A00-000013000000}" name="Month" dataDxfId="43">
      <calculatedColumnFormula>$J$5</calculatedColumnFormula>
    </tableColumn>
    <tableColumn id="3" xr3:uid="{00000000-0010-0000-0A00-000003000000}" name="Name" dataDxfId="42">
      <calculatedColumnFormula>I9</calculatedColumnFormula>
    </tableColumn>
    <tableColumn id="4" xr3:uid="{00000000-0010-0000-0A00-000004000000}" name="Present" dataDxfId="41">
      <calculatedColumnFormula>COUNTIF($K9:$AO9,"*P*")</calculatedColumnFormula>
    </tableColumn>
    <tableColumn id="5" xr3:uid="{00000000-0010-0000-0A00-000005000000}" name="Absent" dataDxfId="40">
      <calculatedColumnFormula>COUNTIF($K9:$AO9,"*A*")</calculatedColumnFormula>
    </tableColumn>
    <tableColumn id="6" xr3:uid="{00000000-0010-0000-0A00-000006000000}" name="Leave" dataDxfId="39">
      <calculatedColumnFormula>COUNTIF($K9:$AO9,"L")</calculatedColumnFormula>
    </tableColumn>
    <tableColumn id="7" xr3:uid="{00000000-0010-0000-0A00-000007000000}" name="Weekoff" dataDxfId="38">
      <calculatedColumnFormula>J9</calculatedColumnFormula>
    </tableColumn>
    <tableColumn id="8" xr3:uid="{00000000-0010-0000-0A00-000008000000}" name="Days" dataDxfId="37">
      <calculatedColumnFormula>$I$5</calculatedColumnFormula>
    </tableColumn>
    <tableColumn id="9" xr3:uid="{00000000-0010-0000-0A00-000009000000}" name="Paid Days" dataDxfId="36">
      <calculatedColumnFormula>nov_repo[[#This Row],[Days]]-nov_repo[[#This Row],[Absent]]</calculatedColumnFormula>
    </tableColumn>
    <tableColumn id="10" xr3:uid="{00000000-0010-0000-0A00-00000A000000}" name="Salary" dataDxfId="35"/>
    <tableColumn id="11" xr3:uid="{00000000-0010-0000-0A00-00000B000000}" name="Per Day Salary" dataDxfId="34">
      <calculatedColumnFormula>nov_repo[[#This Row],[Salary]]/nov_repo[[#This Row],[Days]]</calculatedColumnFormula>
    </tableColumn>
    <tableColumn id="12" xr3:uid="{00000000-0010-0000-0A00-00000C000000}" name="Deduction" dataDxfId="33">
      <calculatedColumnFormula>nov_repo[[#This Row],[Per Day Salary]]*nov_repo[[#This Row],[Absent]]</calculatedColumnFormula>
    </tableColumn>
    <tableColumn id="13" xr3:uid="{00000000-0010-0000-0A00-00000D000000}" name="Total Salary" dataDxfId="32">
      <calculatedColumnFormula>nov_repo[[#This Row],[Salary]]-nov_repo[[#This Row],[Deduction]]</calculatedColumnFormula>
    </tableColumn>
    <tableColumn id="16" xr3:uid="{00000000-0010-0000-0A00-000010000000}" name="Sparkline" dataDxfId="31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dec_repo" displayName="dec_repo" ref="AR8:BF38" totalsRowShown="0" headerRowDxfId="18" dataDxfId="16" headerRowBorderDxfId="17" tableBorderDxfId="15">
  <autoFilter ref="AR8:BF38" xr:uid="{00000000-0009-0000-0100-00000C000000}"/>
  <tableColumns count="15">
    <tableColumn id="1" xr3:uid="{00000000-0010-0000-0B00-000001000000}" name="S No" dataDxfId="14"/>
    <tableColumn id="2" xr3:uid="{00000000-0010-0000-0B00-000002000000}" name="Empoloyee id" dataDxfId="13"/>
    <tableColumn id="19" xr3:uid="{00000000-0010-0000-0B00-000013000000}" name="Month" dataDxfId="12">
      <calculatedColumnFormula>$J$5</calculatedColumnFormula>
    </tableColumn>
    <tableColumn id="3" xr3:uid="{00000000-0010-0000-0B00-000003000000}" name="Name" dataDxfId="11">
      <calculatedColumnFormula>I9</calculatedColumnFormula>
    </tableColumn>
    <tableColumn id="4" xr3:uid="{00000000-0010-0000-0B00-000004000000}" name="Present" dataDxfId="10">
      <calculatedColumnFormula>COUNTIF($K9:$AO9,"*P*")</calculatedColumnFormula>
    </tableColumn>
    <tableColumn id="5" xr3:uid="{00000000-0010-0000-0B00-000005000000}" name="Absent" dataDxfId="9">
      <calculatedColumnFormula>COUNTIF($K9:$AO9,"*A*")</calculatedColumnFormula>
    </tableColumn>
    <tableColumn id="6" xr3:uid="{00000000-0010-0000-0B00-000006000000}" name="Leave" dataDxfId="8">
      <calculatedColumnFormula>COUNTIF($K9:$AO9,"L")</calculatedColumnFormula>
    </tableColumn>
    <tableColumn id="7" xr3:uid="{00000000-0010-0000-0B00-000007000000}" name="Weekoff" dataDxfId="7">
      <calculatedColumnFormula>J9</calculatedColumnFormula>
    </tableColumn>
    <tableColumn id="8" xr3:uid="{00000000-0010-0000-0B00-000008000000}" name="Days" dataDxfId="6">
      <calculatedColumnFormula>$I$5</calculatedColumnFormula>
    </tableColumn>
    <tableColumn id="9" xr3:uid="{00000000-0010-0000-0B00-000009000000}" name="Paid Days" dataDxfId="5">
      <calculatedColumnFormula>dec_repo[[#This Row],[Days]]-dec_repo[[#This Row],[Absent]]</calculatedColumnFormula>
    </tableColumn>
    <tableColumn id="10" xr3:uid="{00000000-0010-0000-0B00-00000A000000}" name="Salary" dataDxfId="4"/>
    <tableColumn id="11" xr3:uid="{00000000-0010-0000-0B00-00000B000000}" name="Per Day Salary" dataDxfId="3">
      <calculatedColumnFormula>dec_repo[[#This Row],[Salary]]/dec_repo[[#This Row],[Days]]</calculatedColumnFormula>
    </tableColumn>
    <tableColumn id="12" xr3:uid="{00000000-0010-0000-0B00-00000C000000}" name="Deduction" dataDxfId="2">
      <calculatedColumnFormula>dec_repo[[#This Row],[Per Day Salary]]*dec_repo[[#This Row],[Absent]]</calculatedColumnFormula>
    </tableColumn>
    <tableColumn id="13" xr3:uid="{00000000-0010-0000-0B00-00000D000000}" name="Total Salary" dataDxfId="1">
      <calculatedColumnFormula>dec_repo[[#This Row],[Salary]]-dec_repo[[#This Row],[Deduction]]</calculatedColumnFormula>
    </tableColumn>
    <tableColumn id="16" xr3:uid="{00000000-0010-0000-0B00-000010000000}" name="Sparklin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Z163"/>
  <sheetViews>
    <sheetView tabSelected="1" zoomScale="106" zoomScaleNormal="115" workbookViewId="0">
      <selection activeCell="V9" sqref="V9:AA11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7.55468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46023</v>
      </c>
      <c r="I5" s="42">
        <f>(DATEDIF($H$5,$L$5,"D"))+1</f>
        <v>31</v>
      </c>
      <c r="J5" s="42" t="str">
        <f>TEXT(H5,"MMMM")</f>
        <v>January</v>
      </c>
      <c r="K5" s="42" t="s">
        <v>64</v>
      </c>
      <c r="L5" s="46">
        <f>EOMONTH(H5,0)</f>
        <v>46053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Thu</v>
      </c>
      <c r="L7" s="4" t="str">
        <f t="shared" ref="L7:AO7" si="0">TEXT(L8,"DDD")</f>
        <v>Fri</v>
      </c>
      <c r="M7" s="4" t="str">
        <f t="shared" si="0"/>
        <v>Sat</v>
      </c>
      <c r="N7" s="4" t="str">
        <f t="shared" si="0"/>
        <v>Sun</v>
      </c>
      <c r="O7" s="4" t="str">
        <f t="shared" si="0"/>
        <v>Mon</v>
      </c>
      <c r="P7" s="4" t="str">
        <f t="shared" si="0"/>
        <v>Tue</v>
      </c>
      <c r="Q7" s="4" t="str">
        <f t="shared" si="0"/>
        <v>Wed</v>
      </c>
      <c r="R7" s="4" t="str">
        <f t="shared" si="0"/>
        <v>Thu</v>
      </c>
      <c r="S7" s="4" t="str">
        <f t="shared" si="0"/>
        <v>Fri</v>
      </c>
      <c r="T7" s="4" t="str">
        <f t="shared" si="0"/>
        <v>Sat</v>
      </c>
      <c r="U7" s="4" t="str">
        <f t="shared" si="0"/>
        <v>Sun</v>
      </c>
      <c r="V7" s="4" t="str">
        <f t="shared" si="0"/>
        <v>Mon</v>
      </c>
      <c r="W7" s="4" t="str">
        <f t="shared" si="0"/>
        <v>Tue</v>
      </c>
      <c r="X7" s="4" t="str">
        <f t="shared" si="0"/>
        <v>Wed</v>
      </c>
      <c r="Y7" s="4" t="str">
        <f t="shared" si="0"/>
        <v>Thu</v>
      </c>
      <c r="Z7" s="4" t="str">
        <f t="shared" si="0"/>
        <v>Fri</v>
      </c>
      <c r="AA7" s="4" t="str">
        <f t="shared" si="0"/>
        <v>Sat</v>
      </c>
      <c r="AB7" s="4" t="str">
        <f t="shared" si="0"/>
        <v>Sun</v>
      </c>
      <c r="AC7" s="4" t="str">
        <f t="shared" si="0"/>
        <v>Mon</v>
      </c>
      <c r="AD7" s="4" t="str">
        <f t="shared" si="0"/>
        <v>Tue</v>
      </c>
      <c r="AE7" s="4" t="str">
        <f t="shared" si="0"/>
        <v>Wed</v>
      </c>
      <c r="AF7" s="4" t="str">
        <f t="shared" si="0"/>
        <v>Thu</v>
      </c>
      <c r="AG7" s="4" t="str">
        <f t="shared" si="0"/>
        <v>Fri</v>
      </c>
      <c r="AH7" s="4" t="str">
        <f t="shared" si="0"/>
        <v>Sat</v>
      </c>
      <c r="AI7" s="4" t="str">
        <f t="shared" si="0"/>
        <v>Sun</v>
      </c>
      <c r="AJ7" s="4" t="str">
        <f t="shared" si="0"/>
        <v>Mon</v>
      </c>
      <c r="AK7" s="4" t="str">
        <f t="shared" si="0"/>
        <v>Tue</v>
      </c>
      <c r="AL7" s="4" t="str">
        <f t="shared" si="0"/>
        <v>Wed</v>
      </c>
      <c r="AM7" s="4" t="str">
        <f t="shared" si="0"/>
        <v>Thu</v>
      </c>
      <c r="AN7" s="4" t="str">
        <f t="shared" si="0"/>
        <v>Fri</v>
      </c>
      <c r="AO7" s="4" t="str">
        <f t="shared" si="0"/>
        <v>Sat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46023</v>
      </c>
      <c r="L8" s="9">
        <f>IF(K8&lt;$L$5,K8+1,"")</f>
        <v>46024</v>
      </c>
      <c r="M8" s="9">
        <f t="shared" ref="M8:AM8" si="1">IF(L8&lt;$L$5,L8+1,"")</f>
        <v>46025</v>
      </c>
      <c r="N8" s="9">
        <f t="shared" si="1"/>
        <v>46026</v>
      </c>
      <c r="O8" s="9">
        <f t="shared" si="1"/>
        <v>46027</v>
      </c>
      <c r="P8" s="9">
        <f t="shared" si="1"/>
        <v>46028</v>
      </c>
      <c r="Q8" s="9">
        <f t="shared" si="1"/>
        <v>46029</v>
      </c>
      <c r="R8" s="9">
        <f t="shared" si="1"/>
        <v>46030</v>
      </c>
      <c r="S8" s="9">
        <f t="shared" si="1"/>
        <v>46031</v>
      </c>
      <c r="T8" s="9">
        <f t="shared" si="1"/>
        <v>46032</v>
      </c>
      <c r="U8" s="9">
        <f t="shared" si="1"/>
        <v>46033</v>
      </c>
      <c r="V8" s="9">
        <f t="shared" si="1"/>
        <v>46034</v>
      </c>
      <c r="W8" s="9">
        <f t="shared" si="1"/>
        <v>46035</v>
      </c>
      <c r="X8" s="9">
        <f t="shared" si="1"/>
        <v>46036</v>
      </c>
      <c r="Y8" s="9">
        <f t="shared" si="1"/>
        <v>46037</v>
      </c>
      <c r="Z8" s="9">
        <f t="shared" si="1"/>
        <v>46038</v>
      </c>
      <c r="AA8" s="9">
        <f t="shared" si="1"/>
        <v>46039</v>
      </c>
      <c r="AB8" s="9">
        <f t="shared" si="1"/>
        <v>46040</v>
      </c>
      <c r="AC8" s="9">
        <f t="shared" si="1"/>
        <v>46041</v>
      </c>
      <c r="AD8" s="9">
        <f t="shared" si="1"/>
        <v>46042</v>
      </c>
      <c r="AE8" s="9">
        <f t="shared" si="1"/>
        <v>46043</v>
      </c>
      <c r="AF8" s="9">
        <f t="shared" si="1"/>
        <v>46044</v>
      </c>
      <c r="AG8" s="9">
        <f t="shared" si="1"/>
        <v>46045</v>
      </c>
      <c r="AH8" s="9">
        <f t="shared" si="1"/>
        <v>46046</v>
      </c>
      <c r="AI8" s="9">
        <f t="shared" si="1"/>
        <v>46047</v>
      </c>
      <c r="AJ8" s="9">
        <f t="shared" si="1"/>
        <v>46048</v>
      </c>
      <c r="AK8" s="9">
        <f t="shared" si="1"/>
        <v>46049</v>
      </c>
      <c r="AL8" s="9">
        <f t="shared" si="1"/>
        <v>46050</v>
      </c>
      <c r="AM8" s="9">
        <f t="shared" si="1"/>
        <v>46051</v>
      </c>
      <c r="AN8" s="9">
        <f t="shared" ref="AN8:AO8" si="2">IF(AM8&lt;=$L$5,AM8+1,"")</f>
        <v>46052</v>
      </c>
      <c r="AO8" s="10">
        <f t="shared" si="2"/>
        <v>46053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 t="str">
        <f t="shared" ref="N9:AI17" si="3">IF(N$7="Sun","WO","")</f>
        <v>WO</v>
      </c>
      <c r="O9" s="15"/>
      <c r="P9" s="15"/>
      <c r="Q9" s="15"/>
      <c r="R9" s="15"/>
      <c r="S9" s="15"/>
      <c r="T9" s="15"/>
      <c r="U9" s="15" t="str">
        <f t="shared" si="3"/>
        <v>WO</v>
      </c>
      <c r="V9" s="15"/>
      <c r="W9" s="15"/>
      <c r="X9" s="15"/>
      <c r="Y9" s="15"/>
      <c r="Z9" s="15"/>
      <c r="AA9" s="15"/>
      <c r="AB9" s="15" t="str">
        <f t="shared" si="3"/>
        <v>WO</v>
      </c>
      <c r="AC9" s="15"/>
      <c r="AD9" s="15"/>
      <c r="AE9" s="15"/>
      <c r="AF9" s="15"/>
      <c r="AG9" s="15"/>
      <c r="AH9" s="15"/>
      <c r="AI9" s="15" t="str">
        <f t="shared" si="3"/>
        <v>WO</v>
      </c>
      <c r="AJ9" s="15"/>
      <c r="AK9" s="15"/>
      <c r="AL9" s="15"/>
      <c r="AM9" s="15"/>
      <c r="AN9" s="15"/>
      <c r="AO9" s="15"/>
      <c r="AP9" s="40"/>
      <c r="AQ9" s="38"/>
      <c r="AR9" s="26">
        <v>1</v>
      </c>
      <c r="AS9" s="27" t="s">
        <v>32</v>
      </c>
      <c r="AT9" s="28" t="str">
        <f t="shared" ref="AT9:AT38" si="4">$J$5</f>
        <v>January</v>
      </c>
      <c r="AU9" s="13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31</v>
      </c>
      <c r="BA9" s="30">
        <f>jan_repo[[#This Row],[Days]]-jan_repo[[#This Row],[Absent]]</f>
        <v>31</v>
      </c>
      <c r="BB9" s="31">
        <v>11000</v>
      </c>
      <c r="BC9" s="32">
        <f>jan_repo[[#This Row],[Salary]]/jan_repo[[#This Row],[Days]]</f>
        <v>354.83870967741933</v>
      </c>
      <c r="BD9" s="30">
        <f>jan_repo[[#This Row],[Per Day Salary]]*jan_repo[[#This Row],[Absent]]</f>
        <v>0</v>
      </c>
      <c r="BE9" s="30">
        <f>jan_repo[[#This Row],[Salary]]-jan_repo[[#This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 t="str">
        <f t="shared" si="3"/>
        <v>WO</v>
      </c>
      <c r="O10" s="15"/>
      <c r="P10" s="15"/>
      <c r="Q10" s="15"/>
      <c r="R10" s="15"/>
      <c r="S10" s="15"/>
      <c r="T10" s="15"/>
      <c r="U10" s="15" t="str">
        <f t="shared" si="3"/>
        <v>WO</v>
      </c>
      <c r="V10" s="15"/>
      <c r="W10" s="15"/>
      <c r="X10" s="15"/>
      <c r="Y10" s="15"/>
      <c r="Z10" s="15"/>
      <c r="AA10" s="15"/>
      <c r="AB10" s="15" t="str">
        <f t="shared" si="3"/>
        <v>WO</v>
      </c>
      <c r="AC10" s="15"/>
      <c r="AD10" s="15"/>
      <c r="AE10" s="15"/>
      <c r="AF10" s="15"/>
      <c r="AG10" s="15"/>
      <c r="AH10" s="15"/>
      <c r="AI10" s="15" t="str">
        <f t="shared" ref="AI10:AI31" si="10">IF(AI$7="Sun","WO","")</f>
        <v>WO</v>
      </c>
      <c r="AJ10" s="15"/>
      <c r="AK10" s="15"/>
      <c r="AL10" s="15"/>
      <c r="AM10" s="15"/>
      <c r="AN10" s="15"/>
      <c r="AO10" s="15"/>
      <c r="AP10" s="40"/>
      <c r="AQ10" s="38"/>
      <c r="AR10" s="34">
        <v>2</v>
      </c>
      <c r="AS10" s="35" t="s">
        <v>33</v>
      </c>
      <c r="AT10" s="28" t="str">
        <f t="shared" si="4"/>
        <v>January</v>
      </c>
      <c r="AU10" s="13" t="str">
        <f t="shared" ref="AU10:AU38" si="11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31</v>
      </c>
      <c r="BA10" s="30">
        <f>jan_repo[[#This Row],[Days]]-jan_repo[[#This Row],[Absent]]</f>
        <v>31</v>
      </c>
      <c r="BB10" s="31">
        <v>11000</v>
      </c>
      <c r="BC10" s="32">
        <f>jan_repo[[#This Row],[Salary]]/jan_repo[[#This Row],[Days]]</f>
        <v>354.83870967741933</v>
      </c>
      <c r="BD10" s="30">
        <f>jan_repo[[#This Row],[Per Day Salary]]*jan_repo[[#This Row],[Absent]]</f>
        <v>0</v>
      </c>
      <c r="BE10" s="30">
        <f>jan_repo[[#This Row],[Salary]]-jan_repo[[#This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 t="str">
        <f t="shared" si="3"/>
        <v>WO</v>
      </c>
      <c r="O11" s="15"/>
      <c r="P11" s="15"/>
      <c r="Q11" s="15"/>
      <c r="R11" s="15"/>
      <c r="S11" s="15"/>
      <c r="T11" s="15"/>
      <c r="U11" s="15" t="str">
        <f t="shared" si="3"/>
        <v>WO</v>
      </c>
      <c r="V11" s="15"/>
      <c r="W11" s="15"/>
      <c r="X11" s="15"/>
      <c r="Y11" s="15"/>
      <c r="Z11" s="15"/>
      <c r="AA11" s="15"/>
      <c r="AB11" s="15" t="str">
        <f t="shared" si="3"/>
        <v>WO</v>
      </c>
      <c r="AC11" s="15"/>
      <c r="AD11" s="15"/>
      <c r="AE11" s="15"/>
      <c r="AF11" s="15"/>
      <c r="AG11" s="15"/>
      <c r="AH11" s="15"/>
      <c r="AI11" s="15" t="str">
        <f t="shared" si="10"/>
        <v>WO</v>
      </c>
      <c r="AJ11" s="15"/>
      <c r="AK11" s="15"/>
      <c r="AL11" s="15"/>
      <c r="AM11" s="15"/>
      <c r="AN11" s="15"/>
      <c r="AO11" s="15"/>
      <c r="AP11" s="40"/>
      <c r="AQ11" s="38"/>
      <c r="AR11" s="34">
        <v>3</v>
      </c>
      <c r="AS11" s="35" t="s">
        <v>34</v>
      </c>
      <c r="AT11" s="28" t="str">
        <f t="shared" si="4"/>
        <v>January</v>
      </c>
      <c r="AU11" s="13" t="str">
        <f t="shared" si="11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31</v>
      </c>
      <c r="BA11" s="30">
        <f>jan_repo[[#This Row],[Days]]-jan_repo[[#This Row],[Absent]]</f>
        <v>31</v>
      </c>
      <c r="BB11" s="31">
        <v>11000</v>
      </c>
      <c r="BC11" s="32">
        <f>jan_repo[[#This Row],[Salary]]/jan_repo[[#This Row],[Days]]</f>
        <v>354.83870967741933</v>
      </c>
      <c r="BD11" s="30">
        <f>jan_repo[[#This Row],[Per Day Salary]]*jan_repo[[#This Row],[Absent]]</f>
        <v>0</v>
      </c>
      <c r="BE11" s="30">
        <f>jan_repo[[#This Row],[Salary]]-jan_repo[[#This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 t="str">
        <f t="shared" si="3"/>
        <v>WO</v>
      </c>
      <c r="O12" s="15"/>
      <c r="P12" s="15"/>
      <c r="Q12" s="15"/>
      <c r="R12" s="15"/>
      <c r="S12" s="15"/>
      <c r="T12" s="15"/>
      <c r="U12" s="15" t="str">
        <f t="shared" si="3"/>
        <v>WO</v>
      </c>
      <c r="V12" s="15"/>
      <c r="W12" s="15"/>
      <c r="X12" s="15"/>
      <c r="Y12" s="15"/>
      <c r="Z12" s="15"/>
      <c r="AA12" s="15"/>
      <c r="AB12" s="15" t="str">
        <f t="shared" si="3"/>
        <v>WO</v>
      </c>
      <c r="AC12" s="15"/>
      <c r="AD12" s="15"/>
      <c r="AE12" s="15"/>
      <c r="AF12" s="15"/>
      <c r="AG12" s="15"/>
      <c r="AH12" s="15"/>
      <c r="AI12" s="15" t="str">
        <f t="shared" si="10"/>
        <v>WO</v>
      </c>
      <c r="AJ12" s="15"/>
      <c r="AK12" s="15"/>
      <c r="AL12" s="15"/>
      <c r="AM12" s="15"/>
      <c r="AN12" s="15"/>
      <c r="AO12" s="15"/>
      <c r="AP12" s="40"/>
      <c r="AQ12" s="38"/>
      <c r="AR12" s="34">
        <v>4</v>
      </c>
      <c r="AS12" s="35" t="s">
        <v>35</v>
      </c>
      <c r="AT12" s="28" t="str">
        <f t="shared" si="4"/>
        <v>January</v>
      </c>
      <c r="AU12" s="13" t="str">
        <f t="shared" si="11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31</v>
      </c>
      <c r="BA12" s="30">
        <f>jan_repo[[#This Row],[Days]]-jan_repo[[#This Row],[Absent]]</f>
        <v>31</v>
      </c>
      <c r="BB12" s="31">
        <v>11000</v>
      </c>
      <c r="BC12" s="32">
        <f>jan_repo[[#This Row],[Salary]]/jan_repo[[#This Row],[Days]]</f>
        <v>354.83870967741933</v>
      </c>
      <c r="BD12" s="30">
        <f>jan_repo[[#This Row],[Per Day Salary]]*jan_repo[[#This Row],[Absent]]</f>
        <v>0</v>
      </c>
      <c r="BE12" s="30">
        <f>jan_repo[[#This Row],[Salary]]-jan_repo[[#This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 t="str">
        <f t="shared" si="3"/>
        <v>WO</v>
      </c>
      <c r="O13" s="15"/>
      <c r="P13" s="15"/>
      <c r="Q13" s="15"/>
      <c r="R13" s="15"/>
      <c r="S13" s="15"/>
      <c r="T13" s="15"/>
      <c r="U13" s="15" t="str">
        <f t="shared" si="3"/>
        <v>WO</v>
      </c>
      <c r="V13" s="15"/>
      <c r="W13" s="15"/>
      <c r="X13" s="15"/>
      <c r="Y13" s="15"/>
      <c r="Z13" s="15"/>
      <c r="AA13" s="15"/>
      <c r="AB13" s="15" t="str">
        <f t="shared" si="3"/>
        <v>WO</v>
      </c>
      <c r="AC13" s="15"/>
      <c r="AD13" s="15"/>
      <c r="AE13" s="15"/>
      <c r="AF13" s="15"/>
      <c r="AG13" s="15"/>
      <c r="AH13" s="15"/>
      <c r="AI13" s="15" t="str">
        <f t="shared" si="10"/>
        <v>WO</v>
      </c>
      <c r="AJ13" s="15"/>
      <c r="AK13" s="15"/>
      <c r="AL13" s="15"/>
      <c r="AM13" s="15"/>
      <c r="AN13" s="15"/>
      <c r="AO13" s="15"/>
      <c r="AP13" s="40"/>
      <c r="AQ13" s="38"/>
      <c r="AR13" s="34">
        <v>5</v>
      </c>
      <c r="AS13" s="35" t="s">
        <v>36</v>
      </c>
      <c r="AT13" s="28" t="str">
        <f t="shared" si="4"/>
        <v>January</v>
      </c>
      <c r="AU13" s="13" t="str">
        <f t="shared" si="11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31</v>
      </c>
      <c r="BA13" s="30">
        <f>jan_repo[[#This Row],[Days]]-jan_repo[[#This Row],[Absent]]</f>
        <v>31</v>
      </c>
      <c r="BB13" s="31">
        <v>0</v>
      </c>
      <c r="BC13" s="32">
        <f>jan_repo[[#This Row],[Salary]]/jan_repo[[#This Row],[Days]]</f>
        <v>0</v>
      </c>
      <c r="BD13" s="30">
        <f>jan_repo[[#This Row],[Per Day Salary]]*jan_repo[[#This Row],[Absent]]</f>
        <v>0</v>
      </c>
      <c r="BE13" s="30">
        <f>jan_repo[[#This Row],[Salary]]-jan_repo[[#This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 t="str">
        <f t="shared" si="3"/>
        <v>WO</v>
      </c>
      <c r="O14" s="15"/>
      <c r="P14" s="15"/>
      <c r="Q14" s="15"/>
      <c r="R14" s="15"/>
      <c r="S14" s="15"/>
      <c r="T14" s="15"/>
      <c r="U14" s="15" t="str">
        <f t="shared" si="3"/>
        <v>WO</v>
      </c>
      <c r="V14" s="15"/>
      <c r="W14" s="15"/>
      <c r="X14" s="15"/>
      <c r="Y14" s="15"/>
      <c r="Z14" s="15"/>
      <c r="AA14" s="15"/>
      <c r="AB14" s="15" t="str">
        <f t="shared" si="3"/>
        <v>WO</v>
      </c>
      <c r="AC14" s="15"/>
      <c r="AD14" s="15"/>
      <c r="AE14" s="15"/>
      <c r="AF14" s="15"/>
      <c r="AG14" s="15"/>
      <c r="AH14" s="15"/>
      <c r="AI14" s="15" t="str">
        <f t="shared" si="10"/>
        <v>WO</v>
      </c>
      <c r="AJ14" s="15"/>
      <c r="AK14" s="15"/>
      <c r="AL14" s="15"/>
      <c r="AM14" s="15"/>
      <c r="AN14" s="15"/>
      <c r="AO14" s="15"/>
      <c r="AP14" s="40"/>
      <c r="AQ14" s="38"/>
      <c r="AR14" s="34">
        <v>6</v>
      </c>
      <c r="AS14" s="35" t="s">
        <v>37</v>
      </c>
      <c r="AT14" s="28" t="str">
        <f t="shared" si="4"/>
        <v>January</v>
      </c>
      <c r="AU14" s="13" t="str">
        <f t="shared" si="11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31</v>
      </c>
      <c r="BA14" s="30">
        <f>jan_repo[[#This Row],[Days]]-jan_repo[[#This Row],[Absent]]</f>
        <v>31</v>
      </c>
      <c r="BB14" s="31">
        <v>0</v>
      </c>
      <c r="BC14" s="32">
        <f>jan_repo[[#This Row],[Salary]]/jan_repo[[#This Row],[Days]]</f>
        <v>0</v>
      </c>
      <c r="BD14" s="30">
        <f>jan_repo[[#This Row],[Per Day Salary]]*jan_repo[[#This Row],[Absent]]</f>
        <v>0</v>
      </c>
      <c r="BE14" s="30">
        <f>jan_repo[[#This Row],[Salary]]-jan_repo[[#This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 t="str">
        <f t="shared" si="3"/>
        <v>WO</v>
      </c>
      <c r="O15" s="15"/>
      <c r="P15" s="15"/>
      <c r="Q15" s="15"/>
      <c r="R15" s="15"/>
      <c r="S15" s="15"/>
      <c r="T15" s="15"/>
      <c r="U15" s="15" t="str">
        <f t="shared" si="3"/>
        <v>WO</v>
      </c>
      <c r="V15" s="15"/>
      <c r="W15" s="15"/>
      <c r="X15" s="15"/>
      <c r="Y15" s="15"/>
      <c r="Z15" s="15"/>
      <c r="AA15" s="15"/>
      <c r="AB15" s="15" t="str">
        <f t="shared" si="3"/>
        <v>WO</v>
      </c>
      <c r="AC15" s="15"/>
      <c r="AD15" s="15"/>
      <c r="AE15" s="15"/>
      <c r="AF15" s="15"/>
      <c r="AG15" s="15"/>
      <c r="AH15" s="15"/>
      <c r="AI15" s="15" t="str">
        <f t="shared" si="10"/>
        <v>WO</v>
      </c>
      <c r="AJ15" s="15"/>
      <c r="AK15" s="15"/>
      <c r="AL15" s="15"/>
      <c r="AM15" s="15"/>
      <c r="AN15" s="15"/>
      <c r="AO15" s="15"/>
      <c r="AP15" s="40"/>
      <c r="AQ15" s="38"/>
      <c r="AR15" s="34">
        <v>7</v>
      </c>
      <c r="AS15" s="35" t="s">
        <v>38</v>
      </c>
      <c r="AT15" s="28" t="str">
        <f t="shared" si="4"/>
        <v>January</v>
      </c>
      <c r="AU15" s="13" t="str">
        <f t="shared" si="11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31</v>
      </c>
      <c r="BA15" s="30">
        <f>jan_repo[[#This Row],[Days]]-jan_repo[[#This Row],[Absent]]</f>
        <v>31</v>
      </c>
      <c r="BB15" s="31">
        <v>0</v>
      </c>
      <c r="BC15" s="32">
        <f>jan_repo[[#This Row],[Salary]]/jan_repo[[#This Row],[Days]]</f>
        <v>0</v>
      </c>
      <c r="BD15" s="30">
        <f>jan_repo[[#This Row],[Per Day Salary]]*jan_repo[[#This Row],[Absent]]</f>
        <v>0</v>
      </c>
      <c r="BE15" s="30">
        <f>jan_repo[[#This Row],[Salary]]-jan_repo[[#This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 t="str">
        <f t="shared" si="3"/>
        <v>WO</v>
      </c>
      <c r="O16" s="15"/>
      <c r="P16" s="15"/>
      <c r="Q16" s="15"/>
      <c r="R16" s="15"/>
      <c r="S16" s="15"/>
      <c r="T16" s="15"/>
      <c r="U16" s="15" t="str">
        <f t="shared" si="3"/>
        <v>WO</v>
      </c>
      <c r="V16" s="15"/>
      <c r="W16" s="15"/>
      <c r="X16" s="15"/>
      <c r="Y16" s="15"/>
      <c r="Z16" s="15"/>
      <c r="AA16" s="15"/>
      <c r="AB16" s="15" t="str">
        <f t="shared" si="3"/>
        <v>WO</v>
      </c>
      <c r="AC16" s="15"/>
      <c r="AD16" s="15"/>
      <c r="AE16" s="15"/>
      <c r="AF16" s="15"/>
      <c r="AG16" s="15"/>
      <c r="AH16" s="15"/>
      <c r="AI16" s="15" t="str">
        <f t="shared" si="10"/>
        <v>WO</v>
      </c>
      <c r="AJ16" s="15"/>
      <c r="AK16" s="15"/>
      <c r="AL16" s="15"/>
      <c r="AM16" s="15"/>
      <c r="AN16" s="15"/>
      <c r="AO16" s="15"/>
      <c r="AP16" s="40"/>
      <c r="AQ16" s="38"/>
      <c r="AR16" s="34">
        <v>8</v>
      </c>
      <c r="AS16" s="35" t="s">
        <v>39</v>
      </c>
      <c r="AT16" s="28" t="str">
        <f t="shared" si="4"/>
        <v>January</v>
      </c>
      <c r="AU16" s="13" t="str">
        <f t="shared" si="11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31</v>
      </c>
      <c r="BA16" s="30">
        <f>jan_repo[[#This Row],[Days]]-jan_repo[[#This Row],[Absent]]</f>
        <v>31</v>
      </c>
      <c r="BB16" s="31">
        <v>0</v>
      </c>
      <c r="BC16" s="32">
        <f>jan_repo[[#This Row],[Salary]]/jan_repo[[#This Row],[Days]]</f>
        <v>0</v>
      </c>
      <c r="BD16" s="30">
        <f>jan_repo[[#This Row],[Per Day Salary]]*jan_repo[[#This Row],[Absent]]</f>
        <v>0</v>
      </c>
      <c r="BE16" s="30">
        <f>jan_repo[[#This Row],[Salary]]-jan_repo[[#This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 t="str">
        <f t="shared" si="3"/>
        <v>WO</v>
      </c>
      <c r="O17" s="15"/>
      <c r="P17" s="15"/>
      <c r="Q17" s="15"/>
      <c r="R17" s="15"/>
      <c r="S17" s="15"/>
      <c r="T17" s="15"/>
      <c r="U17" s="15" t="str">
        <f t="shared" si="3"/>
        <v>WO</v>
      </c>
      <c r="V17" s="15"/>
      <c r="W17" s="15"/>
      <c r="X17" s="15"/>
      <c r="Y17" s="15"/>
      <c r="Z17" s="15"/>
      <c r="AA17" s="15"/>
      <c r="AB17" s="15" t="str">
        <f t="shared" ref="AB17:AI34" si="12">IF(AB$7="Sun","WO","")</f>
        <v>WO</v>
      </c>
      <c r="AC17" s="15"/>
      <c r="AD17" s="15"/>
      <c r="AE17" s="15"/>
      <c r="AF17" s="15"/>
      <c r="AG17" s="15"/>
      <c r="AH17" s="15"/>
      <c r="AI17" s="15" t="str">
        <f t="shared" si="10"/>
        <v>WO</v>
      </c>
      <c r="AJ17" s="15"/>
      <c r="AK17" s="15"/>
      <c r="AL17" s="15"/>
      <c r="AM17" s="15"/>
      <c r="AN17" s="15"/>
      <c r="AO17" s="15"/>
      <c r="AP17" s="40"/>
      <c r="AQ17" s="38"/>
      <c r="AR17" s="34">
        <v>9</v>
      </c>
      <c r="AS17" s="35" t="s">
        <v>40</v>
      </c>
      <c r="AT17" s="28" t="str">
        <f t="shared" si="4"/>
        <v>January</v>
      </c>
      <c r="AU17" s="13" t="str">
        <f t="shared" si="11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31</v>
      </c>
      <c r="BA17" s="30">
        <f>jan_repo[[#This Row],[Days]]-jan_repo[[#This Row],[Absent]]</f>
        <v>31</v>
      </c>
      <c r="BB17" s="31">
        <v>0</v>
      </c>
      <c r="BC17" s="32">
        <f>jan_repo[[#This Row],[Salary]]/jan_repo[[#This Row],[Days]]</f>
        <v>0</v>
      </c>
      <c r="BD17" s="30">
        <f>jan_repo[[#This Row],[Per Day Salary]]*jan_repo[[#This Row],[Absent]]</f>
        <v>0</v>
      </c>
      <c r="BE17" s="30">
        <f>jan_repo[[#This Row],[Salary]]-jan_repo[[#This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 t="str">
        <f t="shared" ref="N18:U33" si="13">IF(N$7="Sun","WO","")</f>
        <v>WO</v>
      </c>
      <c r="O18" s="15"/>
      <c r="P18" s="15"/>
      <c r="Q18" s="15"/>
      <c r="R18" s="15"/>
      <c r="S18" s="15"/>
      <c r="T18" s="15"/>
      <c r="U18" s="15" t="str">
        <f t="shared" si="13"/>
        <v>WO</v>
      </c>
      <c r="V18" s="15"/>
      <c r="W18" s="15"/>
      <c r="X18" s="15"/>
      <c r="Y18" s="15"/>
      <c r="Z18" s="15"/>
      <c r="AA18" s="15"/>
      <c r="AB18" s="15" t="str">
        <f t="shared" si="12"/>
        <v>WO</v>
      </c>
      <c r="AC18" s="15"/>
      <c r="AD18" s="15"/>
      <c r="AE18" s="15"/>
      <c r="AF18" s="15"/>
      <c r="AG18" s="15"/>
      <c r="AH18" s="15"/>
      <c r="AI18" s="15" t="str">
        <f t="shared" si="10"/>
        <v>WO</v>
      </c>
      <c r="AJ18" s="15"/>
      <c r="AK18" s="15"/>
      <c r="AL18" s="15"/>
      <c r="AM18" s="15"/>
      <c r="AN18" s="15"/>
      <c r="AO18" s="15"/>
      <c r="AP18" s="40"/>
      <c r="AQ18" s="38"/>
      <c r="AR18" s="34">
        <v>10</v>
      </c>
      <c r="AS18" s="35" t="s">
        <v>41</v>
      </c>
      <c r="AT18" s="28" t="str">
        <f t="shared" si="4"/>
        <v>January</v>
      </c>
      <c r="AU18" s="13" t="str">
        <f t="shared" si="11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31</v>
      </c>
      <c r="BA18" s="30">
        <f>jan_repo[[#This Row],[Days]]-jan_repo[[#This Row],[Absent]]</f>
        <v>31</v>
      </c>
      <c r="BB18" s="31">
        <v>0</v>
      </c>
      <c r="BC18" s="32">
        <f>jan_repo[[#This Row],[Salary]]/jan_repo[[#This Row],[Days]]</f>
        <v>0</v>
      </c>
      <c r="BD18" s="30">
        <f>jan_repo[[#This Row],[Per Day Salary]]*jan_repo[[#This Row],[Absent]]</f>
        <v>0</v>
      </c>
      <c r="BE18" s="30">
        <f>jan_repo[[#This Row],[Salary]]-jan_repo[[#This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 t="str">
        <f t="shared" si="13"/>
        <v>WO</v>
      </c>
      <c r="O19" s="15"/>
      <c r="P19" s="15"/>
      <c r="Q19" s="15"/>
      <c r="R19" s="15"/>
      <c r="S19" s="15"/>
      <c r="T19" s="15"/>
      <c r="U19" s="15" t="str">
        <f t="shared" si="13"/>
        <v>WO</v>
      </c>
      <c r="V19" s="15"/>
      <c r="W19" s="15"/>
      <c r="X19" s="15"/>
      <c r="Y19" s="15"/>
      <c r="Z19" s="15"/>
      <c r="AA19" s="15"/>
      <c r="AB19" s="15" t="str">
        <f t="shared" si="12"/>
        <v>WO</v>
      </c>
      <c r="AC19" s="15"/>
      <c r="AD19" s="15"/>
      <c r="AE19" s="15"/>
      <c r="AF19" s="15"/>
      <c r="AG19" s="15"/>
      <c r="AH19" s="15"/>
      <c r="AI19" s="15" t="str">
        <f t="shared" si="10"/>
        <v>WO</v>
      </c>
      <c r="AJ19" s="15"/>
      <c r="AK19" s="15"/>
      <c r="AL19" s="15"/>
      <c r="AM19" s="15"/>
      <c r="AN19" s="15"/>
      <c r="AO19" s="15"/>
      <c r="AP19" s="40"/>
      <c r="AQ19" s="38"/>
      <c r="AR19" s="34">
        <v>11</v>
      </c>
      <c r="AS19" s="35" t="s">
        <v>42</v>
      </c>
      <c r="AT19" s="28" t="str">
        <f t="shared" si="4"/>
        <v>January</v>
      </c>
      <c r="AU19" s="13" t="str">
        <f t="shared" si="11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31</v>
      </c>
      <c r="BA19" s="30">
        <f>jan_repo[[#This Row],[Days]]-jan_repo[[#This Row],[Absent]]</f>
        <v>31</v>
      </c>
      <c r="BB19" s="31">
        <v>0</v>
      </c>
      <c r="BC19" s="32">
        <f>jan_repo[[#This Row],[Salary]]/jan_repo[[#This Row],[Days]]</f>
        <v>0</v>
      </c>
      <c r="BD19" s="30">
        <f>jan_repo[[#This Row],[Per Day Salary]]*jan_repo[[#This Row],[Absent]]</f>
        <v>0</v>
      </c>
      <c r="BE19" s="30">
        <f>jan_repo[[#This Row],[Salary]]-jan_repo[[#This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 t="str">
        <f t="shared" si="13"/>
        <v>WO</v>
      </c>
      <c r="O20" s="15"/>
      <c r="P20" s="15"/>
      <c r="Q20" s="15"/>
      <c r="R20" s="15"/>
      <c r="S20" s="15"/>
      <c r="T20" s="15"/>
      <c r="U20" s="15" t="str">
        <f t="shared" si="13"/>
        <v>WO</v>
      </c>
      <c r="V20" s="15"/>
      <c r="W20" s="15"/>
      <c r="X20" s="15"/>
      <c r="Y20" s="15"/>
      <c r="Z20" s="15"/>
      <c r="AA20" s="15"/>
      <c r="AB20" s="15" t="str">
        <f t="shared" si="12"/>
        <v>WO</v>
      </c>
      <c r="AC20" s="15"/>
      <c r="AD20" s="15"/>
      <c r="AE20" s="15"/>
      <c r="AF20" s="15"/>
      <c r="AG20" s="15"/>
      <c r="AH20" s="15"/>
      <c r="AI20" s="15" t="str">
        <f t="shared" si="10"/>
        <v>WO</v>
      </c>
      <c r="AJ20" s="15"/>
      <c r="AK20" s="15"/>
      <c r="AL20" s="15"/>
      <c r="AM20" s="15"/>
      <c r="AN20" s="15"/>
      <c r="AO20" s="15"/>
      <c r="AP20" s="40"/>
      <c r="AQ20" s="38"/>
      <c r="AR20" s="34">
        <v>12</v>
      </c>
      <c r="AS20" s="35" t="s">
        <v>43</v>
      </c>
      <c r="AT20" s="28" t="str">
        <f t="shared" si="4"/>
        <v>January</v>
      </c>
      <c r="AU20" s="13" t="str">
        <f t="shared" si="11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31</v>
      </c>
      <c r="BA20" s="30">
        <f>jan_repo[[#This Row],[Days]]-jan_repo[[#This Row],[Absent]]</f>
        <v>31</v>
      </c>
      <c r="BB20" s="31">
        <v>0</v>
      </c>
      <c r="BC20" s="32">
        <f>jan_repo[[#This Row],[Salary]]/jan_repo[[#This Row],[Days]]</f>
        <v>0</v>
      </c>
      <c r="BD20" s="30">
        <f>jan_repo[[#This Row],[Per Day Salary]]*jan_repo[[#This Row],[Absent]]</f>
        <v>0</v>
      </c>
      <c r="BE20" s="30">
        <f>jan_repo[[#This Row],[Salary]]-jan_repo[[#This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 t="str">
        <f t="shared" si="13"/>
        <v>WO</v>
      </c>
      <c r="O21" s="15"/>
      <c r="P21" s="15"/>
      <c r="Q21" s="15"/>
      <c r="R21" s="15"/>
      <c r="S21" s="15"/>
      <c r="T21" s="15"/>
      <c r="U21" s="15" t="str">
        <f t="shared" si="13"/>
        <v>WO</v>
      </c>
      <c r="V21" s="15"/>
      <c r="W21" s="15"/>
      <c r="X21" s="15"/>
      <c r="Y21" s="15"/>
      <c r="Z21" s="15"/>
      <c r="AA21" s="15"/>
      <c r="AB21" s="15" t="str">
        <f t="shared" si="12"/>
        <v>WO</v>
      </c>
      <c r="AC21" s="15"/>
      <c r="AD21" s="15"/>
      <c r="AE21" s="15"/>
      <c r="AF21" s="15"/>
      <c r="AG21" s="15"/>
      <c r="AH21" s="15"/>
      <c r="AI21" s="15" t="str">
        <f t="shared" si="10"/>
        <v>WO</v>
      </c>
      <c r="AJ21" s="15"/>
      <c r="AK21" s="15"/>
      <c r="AL21" s="15"/>
      <c r="AM21" s="15"/>
      <c r="AN21" s="15"/>
      <c r="AO21" s="15"/>
      <c r="AP21" s="40"/>
      <c r="AQ21" s="38"/>
      <c r="AR21" s="34">
        <v>13</v>
      </c>
      <c r="AS21" s="35" t="s">
        <v>44</v>
      </c>
      <c r="AT21" s="28" t="str">
        <f t="shared" si="4"/>
        <v>January</v>
      </c>
      <c r="AU21" s="13" t="str">
        <f t="shared" si="11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31</v>
      </c>
      <c r="BA21" s="30">
        <f>jan_repo[[#This Row],[Days]]-jan_repo[[#This Row],[Absent]]</f>
        <v>31</v>
      </c>
      <c r="BB21" s="31">
        <v>0</v>
      </c>
      <c r="BC21" s="32">
        <f>jan_repo[[#This Row],[Salary]]/jan_repo[[#This Row],[Days]]</f>
        <v>0</v>
      </c>
      <c r="BD21" s="30">
        <f>jan_repo[[#This Row],[Per Day Salary]]*jan_repo[[#This Row],[Absent]]</f>
        <v>0</v>
      </c>
      <c r="BE21" s="30">
        <f>jan_repo[[#This Row],[Salary]]-jan_repo[[#This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 t="str">
        <f t="shared" si="13"/>
        <v>WO</v>
      </c>
      <c r="O22" s="15"/>
      <c r="P22" s="15"/>
      <c r="Q22" s="15"/>
      <c r="R22" s="15"/>
      <c r="S22" s="15"/>
      <c r="T22" s="15"/>
      <c r="U22" s="15" t="str">
        <f t="shared" si="13"/>
        <v>WO</v>
      </c>
      <c r="V22" s="15"/>
      <c r="W22" s="15"/>
      <c r="X22" s="15"/>
      <c r="Y22" s="15"/>
      <c r="Z22" s="15"/>
      <c r="AA22" s="15"/>
      <c r="AB22" s="15" t="str">
        <f t="shared" si="12"/>
        <v>WO</v>
      </c>
      <c r="AC22" s="15"/>
      <c r="AD22" s="15"/>
      <c r="AE22" s="15"/>
      <c r="AF22" s="15"/>
      <c r="AG22" s="15"/>
      <c r="AH22" s="15"/>
      <c r="AI22" s="15" t="str">
        <f t="shared" si="10"/>
        <v>WO</v>
      </c>
      <c r="AJ22" s="15"/>
      <c r="AK22" s="15"/>
      <c r="AL22" s="15"/>
      <c r="AM22" s="15"/>
      <c r="AN22" s="15"/>
      <c r="AO22" s="15"/>
      <c r="AP22" s="40"/>
      <c r="AQ22" s="38"/>
      <c r="AR22" s="34">
        <v>14</v>
      </c>
      <c r="AS22" s="35" t="s">
        <v>45</v>
      </c>
      <c r="AT22" s="28" t="str">
        <f t="shared" si="4"/>
        <v>January</v>
      </c>
      <c r="AU22" s="13" t="str">
        <f t="shared" si="11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31</v>
      </c>
      <c r="BA22" s="30">
        <f>jan_repo[[#This Row],[Days]]-jan_repo[[#This Row],[Absent]]</f>
        <v>31</v>
      </c>
      <c r="BB22" s="31">
        <v>0</v>
      </c>
      <c r="BC22" s="32">
        <f>jan_repo[[#This Row],[Salary]]/jan_repo[[#This Row],[Days]]</f>
        <v>0</v>
      </c>
      <c r="BD22" s="30">
        <f>jan_repo[[#This Row],[Per Day Salary]]*jan_repo[[#This Row],[Absent]]</f>
        <v>0</v>
      </c>
      <c r="BE22" s="30">
        <f>jan_repo[[#This Row],[Salary]]-jan_repo[[#This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 t="str">
        <f t="shared" si="13"/>
        <v>WO</v>
      </c>
      <c r="O23" s="15"/>
      <c r="P23" s="15"/>
      <c r="Q23" s="15"/>
      <c r="R23" s="15"/>
      <c r="S23" s="15"/>
      <c r="T23" s="15"/>
      <c r="U23" s="15" t="str">
        <f t="shared" si="13"/>
        <v>WO</v>
      </c>
      <c r="V23" s="15"/>
      <c r="W23" s="15"/>
      <c r="X23" s="15"/>
      <c r="Y23" s="15"/>
      <c r="Z23" s="15"/>
      <c r="AA23" s="15"/>
      <c r="AB23" s="15" t="str">
        <f t="shared" si="12"/>
        <v>WO</v>
      </c>
      <c r="AC23" s="15"/>
      <c r="AD23" s="15"/>
      <c r="AE23" s="15"/>
      <c r="AF23" s="15"/>
      <c r="AG23" s="15"/>
      <c r="AH23" s="15"/>
      <c r="AI23" s="15" t="str">
        <f t="shared" si="10"/>
        <v>WO</v>
      </c>
      <c r="AJ23" s="15"/>
      <c r="AK23" s="15"/>
      <c r="AL23" s="15"/>
      <c r="AM23" s="15"/>
      <c r="AN23" s="15"/>
      <c r="AO23" s="15"/>
      <c r="AP23" s="40"/>
      <c r="AQ23" s="38"/>
      <c r="AR23" s="34">
        <v>15</v>
      </c>
      <c r="AS23" s="35" t="s">
        <v>46</v>
      </c>
      <c r="AT23" s="28" t="str">
        <f t="shared" si="4"/>
        <v>January</v>
      </c>
      <c r="AU23" s="13" t="str">
        <f t="shared" si="11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31</v>
      </c>
      <c r="BA23" s="30">
        <f>jan_repo[[#This Row],[Days]]-jan_repo[[#This Row],[Absent]]</f>
        <v>31</v>
      </c>
      <c r="BB23" s="31">
        <v>0</v>
      </c>
      <c r="BC23" s="32">
        <f>jan_repo[[#This Row],[Salary]]/jan_repo[[#This Row],[Days]]</f>
        <v>0</v>
      </c>
      <c r="BD23" s="30">
        <f>jan_repo[[#This Row],[Per Day Salary]]*jan_repo[[#This Row],[Absent]]</f>
        <v>0</v>
      </c>
      <c r="BE23" s="30">
        <f>jan_repo[[#This Row],[Salary]]-jan_repo[[#This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 t="str">
        <f t="shared" si="13"/>
        <v>WO</v>
      </c>
      <c r="O24" s="15"/>
      <c r="P24" s="15"/>
      <c r="Q24" s="15"/>
      <c r="R24" s="15"/>
      <c r="S24" s="15"/>
      <c r="T24" s="15"/>
      <c r="U24" s="15" t="str">
        <f t="shared" si="13"/>
        <v>WO</v>
      </c>
      <c r="V24" s="15"/>
      <c r="W24" s="15"/>
      <c r="X24" s="15"/>
      <c r="Y24" s="15"/>
      <c r="Z24" s="15"/>
      <c r="AA24" s="15"/>
      <c r="AB24" s="15" t="str">
        <f t="shared" si="12"/>
        <v>WO</v>
      </c>
      <c r="AC24" s="15"/>
      <c r="AD24" s="15"/>
      <c r="AE24" s="15"/>
      <c r="AF24" s="15"/>
      <c r="AG24" s="15"/>
      <c r="AH24" s="15"/>
      <c r="AI24" s="15" t="str">
        <f t="shared" si="10"/>
        <v>WO</v>
      </c>
      <c r="AJ24" s="15"/>
      <c r="AK24" s="15"/>
      <c r="AL24" s="15"/>
      <c r="AM24" s="15"/>
      <c r="AN24" s="15"/>
      <c r="AO24" s="15"/>
      <c r="AP24" s="40"/>
      <c r="AQ24" s="38"/>
      <c r="AR24" s="34">
        <v>16</v>
      </c>
      <c r="AS24" s="35" t="s">
        <v>47</v>
      </c>
      <c r="AT24" s="28" t="str">
        <f t="shared" si="4"/>
        <v>January</v>
      </c>
      <c r="AU24" s="13" t="str">
        <f t="shared" si="11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31</v>
      </c>
      <c r="BA24" s="30">
        <f>jan_repo[[#This Row],[Days]]-jan_repo[[#This Row],[Absent]]</f>
        <v>31</v>
      </c>
      <c r="BB24" s="31">
        <v>0</v>
      </c>
      <c r="BC24" s="32">
        <f>jan_repo[[#This Row],[Salary]]/jan_repo[[#This Row],[Days]]</f>
        <v>0</v>
      </c>
      <c r="BD24" s="30">
        <f>jan_repo[[#This Row],[Per Day Salary]]*jan_repo[[#This Row],[Absent]]</f>
        <v>0</v>
      </c>
      <c r="BE24" s="30">
        <f>jan_repo[[#This Row],[Salary]]-jan_repo[[#This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 t="str">
        <f t="shared" si="13"/>
        <v>WO</v>
      </c>
      <c r="O25" s="15"/>
      <c r="P25" s="15"/>
      <c r="Q25" s="15"/>
      <c r="R25" s="15"/>
      <c r="S25" s="15"/>
      <c r="T25" s="15"/>
      <c r="U25" s="15" t="str">
        <f t="shared" si="13"/>
        <v>WO</v>
      </c>
      <c r="V25" s="15"/>
      <c r="W25" s="15"/>
      <c r="X25" s="15"/>
      <c r="Y25" s="15"/>
      <c r="Z25" s="15"/>
      <c r="AA25" s="15"/>
      <c r="AB25" s="15" t="str">
        <f t="shared" si="12"/>
        <v>WO</v>
      </c>
      <c r="AC25" s="15"/>
      <c r="AD25" s="15"/>
      <c r="AE25" s="15"/>
      <c r="AF25" s="15"/>
      <c r="AG25" s="15"/>
      <c r="AH25" s="15"/>
      <c r="AI25" s="15" t="str">
        <f t="shared" si="10"/>
        <v>WO</v>
      </c>
      <c r="AJ25" s="15"/>
      <c r="AK25" s="15"/>
      <c r="AL25" s="15"/>
      <c r="AM25" s="15"/>
      <c r="AN25" s="15"/>
      <c r="AO25" s="15"/>
      <c r="AP25" s="40"/>
      <c r="AQ25" s="38"/>
      <c r="AR25" s="34">
        <v>17</v>
      </c>
      <c r="AS25" s="35" t="s">
        <v>48</v>
      </c>
      <c r="AT25" s="28" t="str">
        <f t="shared" si="4"/>
        <v>January</v>
      </c>
      <c r="AU25" s="13" t="str">
        <f t="shared" si="11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31</v>
      </c>
      <c r="BA25" s="30">
        <f>jan_repo[[#This Row],[Days]]-jan_repo[[#This Row],[Absent]]</f>
        <v>31</v>
      </c>
      <c r="BB25" s="31">
        <v>0</v>
      </c>
      <c r="BC25" s="32">
        <f>jan_repo[[#This Row],[Salary]]/jan_repo[[#This Row],[Days]]</f>
        <v>0</v>
      </c>
      <c r="BD25" s="30">
        <f>jan_repo[[#This Row],[Per Day Salary]]*jan_repo[[#This Row],[Absent]]</f>
        <v>0</v>
      </c>
      <c r="BE25" s="30">
        <f>jan_repo[[#This Row],[Salary]]-jan_repo[[#This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 t="str">
        <f t="shared" si="13"/>
        <v>WO</v>
      </c>
      <c r="O26" s="15"/>
      <c r="P26" s="15"/>
      <c r="Q26" s="15"/>
      <c r="R26" s="15"/>
      <c r="S26" s="15"/>
      <c r="T26" s="15"/>
      <c r="U26" s="15" t="str">
        <f t="shared" si="13"/>
        <v>WO</v>
      </c>
      <c r="V26" s="15"/>
      <c r="W26" s="15"/>
      <c r="X26" s="15"/>
      <c r="Y26" s="15"/>
      <c r="Z26" s="15"/>
      <c r="AA26" s="15"/>
      <c r="AB26" s="15" t="str">
        <f t="shared" si="12"/>
        <v>WO</v>
      </c>
      <c r="AC26" s="15"/>
      <c r="AD26" s="15"/>
      <c r="AE26" s="15"/>
      <c r="AF26" s="15"/>
      <c r="AG26" s="15"/>
      <c r="AH26" s="15"/>
      <c r="AI26" s="15" t="str">
        <f t="shared" si="10"/>
        <v>WO</v>
      </c>
      <c r="AJ26" s="15"/>
      <c r="AK26" s="15"/>
      <c r="AL26" s="15"/>
      <c r="AM26" s="15"/>
      <c r="AN26" s="15"/>
      <c r="AO26" s="15"/>
      <c r="AP26" s="40"/>
      <c r="AQ26" s="38"/>
      <c r="AR26" s="34">
        <v>18</v>
      </c>
      <c r="AS26" s="35" t="s">
        <v>49</v>
      </c>
      <c r="AT26" s="28" t="str">
        <f t="shared" si="4"/>
        <v>January</v>
      </c>
      <c r="AU26" s="13" t="str">
        <f t="shared" si="11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31</v>
      </c>
      <c r="BA26" s="30">
        <f>jan_repo[[#This Row],[Days]]-jan_repo[[#This Row],[Absent]]</f>
        <v>31</v>
      </c>
      <c r="BB26" s="31">
        <v>0</v>
      </c>
      <c r="BC26" s="32">
        <f>jan_repo[[#This Row],[Salary]]/jan_repo[[#This Row],[Days]]</f>
        <v>0</v>
      </c>
      <c r="BD26" s="30">
        <f>jan_repo[[#This Row],[Per Day Salary]]*jan_repo[[#This Row],[Absent]]</f>
        <v>0</v>
      </c>
      <c r="BE26" s="30">
        <f>jan_repo[[#This Row],[Salary]]-jan_repo[[#This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 t="str">
        <f t="shared" si="13"/>
        <v>WO</v>
      </c>
      <c r="O27" s="15"/>
      <c r="P27" s="15"/>
      <c r="Q27" s="15"/>
      <c r="R27" s="15"/>
      <c r="S27" s="15"/>
      <c r="T27" s="15"/>
      <c r="U27" s="15" t="str">
        <f t="shared" si="13"/>
        <v>WO</v>
      </c>
      <c r="V27" s="15"/>
      <c r="W27" s="15"/>
      <c r="X27" s="15"/>
      <c r="Y27" s="15"/>
      <c r="Z27" s="15"/>
      <c r="AA27" s="15"/>
      <c r="AB27" s="15" t="str">
        <f t="shared" si="12"/>
        <v>WO</v>
      </c>
      <c r="AC27" s="15"/>
      <c r="AD27" s="15"/>
      <c r="AE27" s="15"/>
      <c r="AF27" s="15"/>
      <c r="AG27" s="15"/>
      <c r="AH27" s="15"/>
      <c r="AI27" s="15" t="str">
        <f t="shared" si="10"/>
        <v>WO</v>
      </c>
      <c r="AJ27" s="15"/>
      <c r="AK27" s="15"/>
      <c r="AL27" s="15"/>
      <c r="AM27" s="15"/>
      <c r="AN27" s="15"/>
      <c r="AO27" s="15"/>
      <c r="AP27" s="40"/>
      <c r="AQ27" s="38"/>
      <c r="AR27" s="34">
        <v>19</v>
      </c>
      <c r="AS27" s="35" t="s">
        <v>50</v>
      </c>
      <c r="AT27" s="28" t="str">
        <f t="shared" si="4"/>
        <v>January</v>
      </c>
      <c r="AU27" s="13" t="str">
        <f t="shared" si="11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31</v>
      </c>
      <c r="BA27" s="30">
        <f>jan_repo[[#This Row],[Days]]-jan_repo[[#This Row],[Absent]]</f>
        <v>31</v>
      </c>
      <c r="BB27" s="31">
        <v>0</v>
      </c>
      <c r="BC27" s="32">
        <f>jan_repo[[#This Row],[Salary]]/jan_repo[[#This Row],[Days]]</f>
        <v>0</v>
      </c>
      <c r="BD27" s="30">
        <f>jan_repo[[#This Row],[Per Day Salary]]*jan_repo[[#This Row],[Absent]]</f>
        <v>0</v>
      </c>
      <c r="BE27" s="30">
        <f>jan_repo[[#This Row],[Salary]]-jan_repo[[#This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 t="str">
        <f t="shared" si="13"/>
        <v>WO</v>
      </c>
      <c r="O28" s="15"/>
      <c r="P28" s="15"/>
      <c r="Q28" s="15"/>
      <c r="R28" s="15"/>
      <c r="S28" s="15"/>
      <c r="T28" s="15"/>
      <c r="U28" s="15" t="str">
        <f t="shared" si="13"/>
        <v>WO</v>
      </c>
      <c r="V28" s="15"/>
      <c r="W28" s="15"/>
      <c r="X28" s="15"/>
      <c r="Y28" s="15"/>
      <c r="Z28" s="15"/>
      <c r="AA28" s="15"/>
      <c r="AB28" s="15" t="str">
        <f t="shared" si="12"/>
        <v>WO</v>
      </c>
      <c r="AC28" s="15"/>
      <c r="AD28" s="15"/>
      <c r="AE28" s="15"/>
      <c r="AF28" s="15"/>
      <c r="AG28" s="15"/>
      <c r="AH28" s="15"/>
      <c r="AI28" s="15" t="str">
        <f t="shared" si="10"/>
        <v>WO</v>
      </c>
      <c r="AJ28" s="15"/>
      <c r="AK28" s="15"/>
      <c r="AL28" s="15"/>
      <c r="AM28" s="15"/>
      <c r="AN28" s="15"/>
      <c r="AO28" s="15"/>
      <c r="AP28" s="40"/>
      <c r="AQ28" s="38"/>
      <c r="AR28" s="34">
        <v>20</v>
      </c>
      <c r="AS28" s="35" t="s">
        <v>51</v>
      </c>
      <c r="AT28" s="28" t="str">
        <f t="shared" si="4"/>
        <v>January</v>
      </c>
      <c r="AU28" s="13" t="str">
        <f t="shared" si="11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31</v>
      </c>
      <c r="BA28" s="30">
        <f>jan_repo[[#This Row],[Days]]-jan_repo[[#This Row],[Absent]]</f>
        <v>31</v>
      </c>
      <c r="BB28" s="31">
        <v>0</v>
      </c>
      <c r="BC28" s="32">
        <f>jan_repo[[#This Row],[Salary]]/jan_repo[[#This Row],[Days]]</f>
        <v>0</v>
      </c>
      <c r="BD28" s="30">
        <f>jan_repo[[#This Row],[Per Day Salary]]*jan_repo[[#This Row],[Absent]]</f>
        <v>0</v>
      </c>
      <c r="BE28" s="30">
        <f>jan_repo[[#This Row],[Salary]]-jan_repo[[#This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 t="str">
        <f t="shared" si="13"/>
        <v>WO</v>
      </c>
      <c r="O29" s="15"/>
      <c r="P29" s="15"/>
      <c r="Q29" s="15"/>
      <c r="R29" s="15"/>
      <c r="S29" s="15"/>
      <c r="T29" s="15"/>
      <c r="U29" s="15" t="str">
        <f t="shared" si="13"/>
        <v>WO</v>
      </c>
      <c r="V29" s="15"/>
      <c r="W29" s="15"/>
      <c r="X29" s="15"/>
      <c r="Y29" s="15"/>
      <c r="Z29" s="15"/>
      <c r="AA29" s="15"/>
      <c r="AB29" s="15" t="str">
        <f t="shared" si="12"/>
        <v>WO</v>
      </c>
      <c r="AC29" s="15"/>
      <c r="AD29" s="15"/>
      <c r="AE29" s="15"/>
      <c r="AF29" s="15"/>
      <c r="AG29" s="15"/>
      <c r="AH29" s="15"/>
      <c r="AI29" s="15" t="str">
        <f t="shared" si="10"/>
        <v>WO</v>
      </c>
      <c r="AJ29" s="15"/>
      <c r="AK29" s="15"/>
      <c r="AL29" s="15"/>
      <c r="AM29" s="15"/>
      <c r="AN29" s="15"/>
      <c r="AO29" s="15"/>
      <c r="AP29" s="40"/>
      <c r="AQ29" s="38"/>
      <c r="AR29" s="34">
        <v>21</v>
      </c>
      <c r="AS29" s="35" t="s">
        <v>52</v>
      </c>
      <c r="AT29" s="28" t="str">
        <f t="shared" si="4"/>
        <v>January</v>
      </c>
      <c r="AU29" s="13" t="str">
        <f t="shared" si="11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31</v>
      </c>
      <c r="BA29" s="30">
        <f>jan_repo[[#This Row],[Days]]-jan_repo[[#This Row],[Absent]]</f>
        <v>31</v>
      </c>
      <c r="BB29" s="31">
        <v>0</v>
      </c>
      <c r="BC29" s="32">
        <f>jan_repo[[#This Row],[Salary]]/jan_repo[[#This Row],[Days]]</f>
        <v>0</v>
      </c>
      <c r="BD29" s="30">
        <f>jan_repo[[#This Row],[Per Day Salary]]*jan_repo[[#This Row],[Absent]]</f>
        <v>0</v>
      </c>
      <c r="BE29" s="30">
        <f>jan_repo[[#This Row],[Salary]]-jan_repo[[#This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 t="str">
        <f t="shared" si="13"/>
        <v>WO</v>
      </c>
      <c r="O30" s="15"/>
      <c r="P30" s="15"/>
      <c r="Q30" s="15"/>
      <c r="R30" s="15"/>
      <c r="S30" s="15"/>
      <c r="T30" s="15"/>
      <c r="U30" s="15" t="str">
        <f t="shared" si="13"/>
        <v>WO</v>
      </c>
      <c r="V30" s="15"/>
      <c r="W30" s="15"/>
      <c r="X30" s="15"/>
      <c r="Y30" s="15"/>
      <c r="Z30" s="15"/>
      <c r="AA30" s="15"/>
      <c r="AB30" s="15" t="str">
        <f t="shared" si="12"/>
        <v>WO</v>
      </c>
      <c r="AC30" s="15"/>
      <c r="AD30" s="15"/>
      <c r="AE30" s="15"/>
      <c r="AF30" s="15"/>
      <c r="AG30" s="15"/>
      <c r="AH30" s="15"/>
      <c r="AI30" s="15" t="str">
        <f t="shared" si="10"/>
        <v>WO</v>
      </c>
      <c r="AJ30" s="15"/>
      <c r="AK30" s="15"/>
      <c r="AL30" s="15"/>
      <c r="AM30" s="15"/>
      <c r="AN30" s="15"/>
      <c r="AO30" s="15"/>
      <c r="AP30" s="40"/>
      <c r="AQ30" s="38"/>
      <c r="AR30" s="34">
        <v>22</v>
      </c>
      <c r="AS30" s="35" t="s">
        <v>53</v>
      </c>
      <c r="AT30" s="28" t="str">
        <f t="shared" si="4"/>
        <v>January</v>
      </c>
      <c r="AU30" s="13" t="str">
        <f t="shared" si="11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31</v>
      </c>
      <c r="BA30" s="30">
        <f>jan_repo[[#This Row],[Days]]-jan_repo[[#This Row],[Absent]]</f>
        <v>31</v>
      </c>
      <c r="BB30" s="31">
        <v>0</v>
      </c>
      <c r="BC30" s="32">
        <f>jan_repo[[#This Row],[Salary]]/jan_repo[[#This Row],[Days]]</f>
        <v>0</v>
      </c>
      <c r="BD30" s="30">
        <f>jan_repo[[#This Row],[Per Day Salary]]*jan_repo[[#This Row],[Absent]]</f>
        <v>0</v>
      </c>
      <c r="BE30" s="30">
        <f>jan_repo[[#This Row],[Salary]]-jan_repo[[#This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 t="str">
        <f t="shared" si="13"/>
        <v>WO</v>
      </c>
      <c r="O31" s="15"/>
      <c r="P31" s="15"/>
      <c r="Q31" s="15"/>
      <c r="R31" s="15"/>
      <c r="S31" s="15"/>
      <c r="T31" s="15"/>
      <c r="U31" s="15" t="str">
        <f t="shared" si="13"/>
        <v>WO</v>
      </c>
      <c r="V31" s="15"/>
      <c r="W31" s="15"/>
      <c r="X31" s="15"/>
      <c r="Y31" s="15"/>
      <c r="Z31" s="15"/>
      <c r="AA31" s="15"/>
      <c r="AB31" s="15" t="str">
        <f t="shared" si="12"/>
        <v>WO</v>
      </c>
      <c r="AC31" s="15"/>
      <c r="AD31" s="15"/>
      <c r="AE31" s="15"/>
      <c r="AF31" s="15"/>
      <c r="AG31" s="15"/>
      <c r="AH31" s="15"/>
      <c r="AI31" s="15" t="str">
        <f t="shared" si="10"/>
        <v>WO</v>
      </c>
      <c r="AJ31" s="15"/>
      <c r="AK31" s="15"/>
      <c r="AL31" s="15"/>
      <c r="AM31" s="15"/>
      <c r="AN31" s="15"/>
      <c r="AO31" s="15"/>
      <c r="AP31" s="40"/>
      <c r="AQ31" s="38"/>
      <c r="AR31" s="34">
        <v>23</v>
      </c>
      <c r="AS31" s="35" t="s">
        <v>54</v>
      </c>
      <c r="AT31" s="28" t="str">
        <f t="shared" si="4"/>
        <v>January</v>
      </c>
      <c r="AU31" s="13" t="str">
        <f t="shared" si="11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31</v>
      </c>
      <c r="BA31" s="30">
        <f>jan_repo[[#This Row],[Days]]-jan_repo[[#This Row],[Absent]]</f>
        <v>31</v>
      </c>
      <c r="BB31" s="31">
        <v>0</v>
      </c>
      <c r="BC31" s="32">
        <f>jan_repo[[#This Row],[Salary]]/jan_repo[[#This Row],[Days]]</f>
        <v>0</v>
      </c>
      <c r="BD31" s="30">
        <f>jan_repo[[#This Row],[Per Day Salary]]*jan_repo[[#This Row],[Absent]]</f>
        <v>0</v>
      </c>
      <c r="BE31" s="30">
        <f>jan_repo[[#This Row],[Salary]]-jan_repo[[#This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 t="str">
        <f t="shared" si="13"/>
        <v>WO</v>
      </c>
      <c r="O32" s="15"/>
      <c r="P32" s="15"/>
      <c r="Q32" s="15"/>
      <c r="R32" s="15"/>
      <c r="S32" s="15"/>
      <c r="T32" s="15"/>
      <c r="U32" s="15" t="str">
        <f t="shared" si="13"/>
        <v>WO</v>
      </c>
      <c r="V32" s="15"/>
      <c r="W32" s="15"/>
      <c r="X32" s="15"/>
      <c r="Y32" s="15"/>
      <c r="Z32" s="15"/>
      <c r="AA32" s="15"/>
      <c r="AB32" s="15" t="str">
        <f t="shared" si="12"/>
        <v>WO</v>
      </c>
      <c r="AC32" s="15"/>
      <c r="AD32" s="15"/>
      <c r="AE32" s="15"/>
      <c r="AF32" s="15"/>
      <c r="AG32" s="15"/>
      <c r="AH32" s="15"/>
      <c r="AI32" s="15" t="str">
        <f t="shared" si="12"/>
        <v>WO</v>
      </c>
      <c r="AJ32" s="15"/>
      <c r="AK32" s="15"/>
      <c r="AL32" s="15"/>
      <c r="AM32" s="15"/>
      <c r="AN32" s="15"/>
      <c r="AO32" s="15"/>
      <c r="AP32" s="40"/>
      <c r="AQ32" s="38"/>
      <c r="AR32" s="34">
        <v>24</v>
      </c>
      <c r="AS32" s="35" t="s">
        <v>55</v>
      </c>
      <c r="AT32" s="28" t="str">
        <f t="shared" si="4"/>
        <v>January</v>
      </c>
      <c r="AU32" s="13" t="str">
        <f t="shared" si="11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31</v>
      </c>
      <c r="BA32" s="30">
        <f>jan_repo[[#This Row],[Days]]-jan_repo[[#This Row],[Absent]]</f>
        <v>31</v>
      </c>
      <c r="BB32" s="31">
        <v>0</v>
      </c>
      <c r="BC32" s="32">
        <f>jan_repo[[#This Row],[Salary]]/jan_repo[[#This Row],[Days]]</f>
        <v>0</v>
      </c>
      <c r="BD32" s="30">
        <f>jan_repo[[#This Row],[Per Day Salary]]*jan_repo[[#This Row],[Absent]]</f>
        <v>0</v>
      </c>
      <c r="BE32" s="30">
        <f>jan_repo[[#This Row],[Salary]]-jan_repo[[#This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 t="str">
        <f t="shared" si="13"/>
        <v>WO</v>
      </c>
      <c r="O33" s="15"/>
      <c r="P33" s="15"/>
      <c r="Q33" s="15"/>
      <c r="R33" s="15"/>
      <c r="S33" s="15"/>
      <c r="T33" s="15"/>
      <c r="U33" s="15" t="str">
        <f t="shared" ref="U33:AB34" si="14">IF(U$7="Sun","WO","")</f>
        <v>WO</v>
      </c>
      <c r="V33" s="15"/>
      <c r="W33" s="15"/>
      <c r="X33" s="15"/>
      <c r="Y33" s="15"/>
      <c r="Z33" s="15"/>
      <c r="AA33" s="15"/>
      <c r="AB33" s="15" t="str">
        <f t="shared" si="14"/>
        <v>WO</v>
      </c>
      <c r="AC33" s="15"/>
      <c r="AD33" s="15"/>
      <c r="AE33" s="15"/>
      <c r="AF33" s="15"/>
      <c r="AG33" s="15"/>
      <c r="AH33" s="15"/>
      <c r="AI33" s="15" t="str">
        <f t="shared" si="12"/>
        <v>WO</v>
      </c>
      <c r="AJ33" s="15"/>
      <c r="AK33" s="15"/>
      <c r="AL33" s="15"/>
      <c r="AM33" s="15"/>
      <c r="AN33" s="15"/>
      <c r="AO33" s="15"/>
      <c r="AP33" s="40"/>
      <c r="AQ33" s="38"/>
      <c r="AR33" s="34">
        <v>25</v>
      </c>
      <c r="AS33" s="35" t="s">
        <v>56</v>
      </c>
      <c r="AT33" s="28" t="str">
        <f t="shared" si="4"/>
        <v>January</v>
      </c>
      <c r="AU33" s="13" t="str">
        <f t="shared" si="11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31</v>
      </c>
      <c r="BA33" s="30">
        <f>jan_repo[[#This Row],[Days]]-jan_repo[[#This Row],[Absent]]</f>
        <v>31</v>
      </c>
      <c r="BB33" s="31">
        <v>0</v>
      </c>
      <c r="BC33" s="32">
        <f>jan_repo[[#This Row],[Salary]]/jan_repo[[#This Row],[Days]]</f>
        <v>0</v>
      </c>
      <c r="BD33" s="30">
        <f>jan_repo[[#This Row],[Per Day Salary]]*jan_repo[[#This Row],[Absent]]</f>
        <v>0</v>
      </c>
      <c r="BE33" s="30">
        <f>jan_repo[[#This Row],[Salary]]-jan_repo[[#This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 t="str">
        <f t="shared" ref="N34:U34" si="15">IF(N$7="Sun","WO","")</f>
        <v>WO</v>
      </c>
      <c r="O34" s="15"/>
      <c r="P34" s="15"/>
      <c r="Q34" s="15"/>
      <c r="R34" s="15"/>
      <c r="S34" s="15"/>
      <c r="T34" s="15"/>
      <c r="U34" s="15" t="str">
        <f t="shared" si="15"/>
        <v>WO</v>
      </c>
      <c r="V34" s="15"/>
      <c r="W34" s="15"/>
      <c r="X34" s="15"/>
      <c r="Y34" s="15"/>
      <c r="Z34" s="15"/>
      <c r="AA34" s="15"/>
      <c r="AB34" s="15" t="str">
        <f t="shared" si="14"/>
        <v>WO</v>
      </c>
      <c r="AC34" s="15"/>
      <c r="AD34" s="15"/>
      <c r="AE34" s="15"/>
      <c r="AF34" s="15"/>
      <c r="AG34" s="15"/>
      <c r="AH34" s="15"/>
      <c r="AI34" s="15" t="str">
        <f t="shared" si="12"/>
        <v>WO</v>
      </c>
      <c r="AJ34" s="15"/>
      <c r="AK34" s="15"/>
      <c r="AL34" s="15"/>
      <c r="AM34" s="15"/>
      <c r="AN34" s="15"/>
      <c r="AO34" s="15"/>
      <c r="AP34" s="40"/>
      <c r="AQ34" s="38"/>
      <c r="AR34" s="34">
        <v>26</v>
      </c>
      <c r="AS34" s="35" t="s">
        <v>57</v>
      </c>
      <c r="AT34" s="28" t="str">
        <f t="shared" si="4"/>
        <v>January</v>
      </c>
      <c r="AU34" s="13" t="str">
        <f t="shared" si="11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31</v>
      </c>
      <c r="BA34" s="30">
        <f>jan_repo[[#This Row],[Days]]-jan_repo[[#This Row],[Absent]]</f>
        <v>31</v>
      </c>
      <c r="BB34" s="31">
        <v>0</v>
      </c>
      <c r="BC34" s="32">
        <f>jan_repo[[#This Row],[Salary]]/jan_repo[[#This Row],[Days]]</f>
        <v>0</v>
      </c>
      <c r="BD34" s="30">
        <f>jan_repo[[#This Row],[Per Day Salary]]*jan_repo[[#This Row],[Absent]]</f>
        <v>0</v>
      </c>
      <c r="BE34" s="30">
        <f>jan_repo[[#This Row],[Salary]]-jan_repo[[#This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 t="str">
        <f t="shared" ref="N35:AI38" si="16">IF(N$7="Sun","WO","")</f>
        <v>WO</v>
      </c>
      <c r="O35" s="15"/>
      <c r="P35" s="15"/>
      <c r="Q35" s="15"/>
      <c r="R35" s="15"/>
      <c r="S35" s="15"/>
      <c r="T35" s="15"/>
      <c r="U35" s="15" t="str">
        <f t="shared" si="16"/>
        <v>WO</v>
      </c>
      <c r="V35" s="15"/>
      <c r="W35" s="15"/>
      <c r="X35" s="15"/>
      <c r="Y35" s="15"/>
      <c r="Z35" s="15"/>
      <c r="AA35" s="15"/>
      <c r="AB35" s="15" t="str">
        <f t="shared" si="16"/>
        <v>WO</v>
      </c>
      <c r="AC35" s="15"/>
      <c r="AD35" s="15"/>
      <c r="AE35" s="15"/>
      <c r="AF35" s="15"/>
      <c r="AG35" s="15"/>
      <c r="AH35" s="15"/>
      <c r="AI35" s="15" t="str">
        <f t="shared" si="16"/>
        <v>WO</v>
      </c>
      <c r="AJ35" s="15"/>
      <c r="AK35" s="15"/>
      <c r="AL35" s="15"/>
      <c r="AM35" s="15"/>
      <c r="AN35" s="15"/>
      <c r="AO35" s="15"/>
      <c r="AP35" s="40"/>
      <c r="AQ35" s="38"/>
      <c r="AR35" s="34">
        <v>27</v>
      </c>
      <c r="AS35" s="35" t="s">
        <v>58</v>
      </c>
      <c r="AT35" s="28" t="str">
        <f t="shared" si="4"/>
        <v>January</v>
      </c>
      <c r="AU35" s="13" t="str">
        <f t="shared" si="11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31</v>
      </c>
      <c r="BA35" s="30">
        <f>jan_repo[[#This Row],[Days]]-jan_repo[[#This Row],[Absent]]</f>
        <v>31</v>
      </c>
      <c r="BB35" s="31">
        <v>0</v>
      </c>
      <c r="BC35" s="32">
        <f>jan_repo[[#This Row],[Salary]]/jan_repo[[#This Row],[Days]]</f>
        <v>0</v>
      </c>
      <c r="BD35" s="30">
        <f>jan_repo[[#This Row],[Per Day Salary]]*jan_repo[[#This Row],[Absent]]</f>
        <v>0</v>
      </c>
      <c r="BE35" s="30">
        <f>jan_repo[[#This Row],[Salary]]-jan_repo[[#This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 t="str">
        <f t="shared" si="16"/>
        <v>WO</v>
      </c>
      <c r="O36" s="15"/>
      <c r="P36" s="15"/>
      <c r="Q36" s="15"/>
      <c r="R36" s="15"/>
      <c r="S36" s="15"/>
      <c r="T36" s="15"/>
      <c r="U36" s="15" t="str">
        <f t="shared" si="16"/>
        <v>WO</v>
      </c>
      <c r="V36" s="15"/>
      <c r="W36" s="15"/>
      <c r="X36" s="15"/>
      <c r="Y36" s="15"/>
      <c r="Z36" s="15"/>
      <c r="AA36" s="15"/>
      <c r="AB36" s="15" t="str">
        <f t="shared" si="16"/>
        <v>WO</v>
      </c>
      <c r="AC36" s="15"/>
      <c r="AD36" s="15"/>
      <c r="AE36" s="15"/>
      <c r="AF36" s="15"/>
      <c r="AG36" s="15"/>
      <c r="AH36" s="15"/>
      <c r="AI36" s="15" t="str">
        <f t="shared" si="16"/>
        <v>WO</v>
      </c>
      <c r="AJ36" s="15"/>
      <c r="AK36" s="15"/>
      <c r="AL36" s="15"/>
      <c r="AM36" s="15"/>
      <c r="AN36" s="15"/>
      <c r="AO36" s="15"/>
      <c r="AP36" s="40"/>
      <c r="AQ36" s="38"/>
      <c r="AR36" s="34">
        <v>28</v>
      </c>
      <c r="AS36" s="35" t="s">
        <v>59</v>
      </c>
      <c r="AT36" s="28" t="str">
        <f t="shared" si="4"/>
        <v>January</v>
      </c>
      <c r="AU36" s="13" t="str">
        <f t="shared" si="11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31</v>
      </c>
      <c r="BA36" s="30">
        <f>jan_repo[[#This Row],[Days]]-jan_repo[[#This Row],[Absent]]</f>
        <v>31</v>
      </c>
      <c r="BB36" s="31">
        <v>0</v>
      </c>
      <c r="BC36" s="32">
        <f>jan_repo[[#This Row],[Salary]]/jan_repo[[#This Row],[Days]]</f>
        <v>0</v>
      </c>
      <c r="BD36" s="30">
        <f>jan_repo[[#This Row],[Per Day Salary]]*jan_repo[[#This Row],[Absent]]</f>
        <v>0</v>
      </c>
      <c r="BE36" s="30">
        <f>jan_repo[[#This Row],[Salary]]-jan_repo[[#This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 t="str">
        <f t="shared" si="16"/>
        <v>WO</v>
      </c>
      <c r="O37" s="15"/>
      <c r="P37" s="15"/>
      <c r="Q37" s="15"/>
      <c r="R37" s="15"/>
      <c r="S37" s="15"/>
      <c r="T37" s="15"/>
      <c r="U37" s="15" t="str">
        <f t="shared" si="16"/>
        <v>WO</v>
      </c>
      <c r="V37" s="15"/>
      <c r="W37" s="15"/>
      <c r="X37" s="15"/>
      <c r="Y37" s="15"/>
      <c r="Z37" s="15"/>
      <c r="AA37" s="15"/>
      <c r="AB37" s="15" t="str">
        <f t="shared" si="16"/>
        <v>WO</v>
      </c>
      <c r="AC37" s="15"/>
      <c r="AD37" s="15"/>
      <c r="AE37" s="15"/>
      <c r="AF37" s="15"/>
      <c r="AG37" s="15"/>
      <c r="AH37" s="15"/>
      <c r="AI37" s="15" t="str">
        <f t="shared" si="16"/>
        <v>WO</v>
      </c>
      <c r="AJ37" s="15"/>
      <c r="AK37" s="15"/>
      <c r="AL37" s="15"/>
      <c r="AM37" s="15"/>
      <c r="AN37" s="15"/>
      <c r="AO37" s="15"/>
      <c r="AP37" s="40"/>
      <c r="AQ37" s="38"/>
      <c r="AR37" s="34">
        <v>29</v>
      </c>
      <c r="AS37" s="35" t="s">
        <v>60</v>
      </c>
      <c r="AT37" s="28" t="str">
        <f t="shared" si="4"/>
        <v>January</v>
      </c>
      <c r="AU37" s="13" t="str">
        <f t="shared" si="11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31</v>
      </c>
      <c r="BA37" s="30">
        <f>jan_repo[[#This Row],[Days]]-jan_repo[[#This Row],[Absent]]</f>
        <v>31</v>
      </c>
      <c r="BB37" s="31">
        <v>0</v>
      </c>
      <c r="BC37" s="32">
        <f>jan_repo[[#This Row],[Salary]]/jan_repo[[#This Row],[Days]]</f>
        <v>0</v>
      </c>
      <c r="BD37" s="30">
        <f>jan_repo[[#This Row],[Per Day Salary]]*jan_repo[[#This Row],[Absent]]</f>
        <v>0</v>
      </c>
      <c r="BE37" s="30">
        <f>jan_repo[[#This Row],[Salary]]-jan_repo[[#This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15"/>
      <c r="L38" s="15"/>
      <c r="M38" s="15"/>
      <c r="N38" s="21" t="str">
        <f t="shared" si="16"/>
        <v>WO</v>
      </c>
      <c r="O38" s="15"/>
      <c r="P38" s="15"/>
      <c r="Q38" s="15"/>
      <c r="R38" s="15"/>
      <c r="S38" s="15"/>
      <c r="T38" s="15"/>
      <c r="U38" s="21" t="str">
        <f t="shared" si="16"/>
        <v>WO</v>
      </c>
      <c r="V38" s="15"/>
      <c r="W38" s="15"/>
      <c r="X38" s="15"/>
      <c r="Y38" s="15"/>
      <c r="Z38" s="15"/>
      <c r="AA38" s="15"/>
      <c r="AB38" s="21" t="str">
        <f t="shared" si="16"/>
        <v>WO</v>
      </c>
      <c r="AC38" s="15"/>
      <c r="AD38" s="15"/>
      <c r="AE38" s="15"/>
      <c r="AF38" s="15"/>
      <c r="AG38" s="15"/>
      <c r="AH38" s="15"/>
      <c r="AI38" s="21" t="str">
        <f t="shared" si="16"/>
        <v>WO</v>
      </c>
      <c r="AJ38" s="15"/>
      <c r="AK38" s="15"/>
      <c r="AL38" s="15"/>
      <c r="AM38" s="15"/>
      <c r="AN38" s="15"/>
      <c r="AO38" s="15"/>
      <c r="AP38" s="40"/>
      <c r="AQ38" s="38"/>
      <c r="AR38" s="36">
        <v>30</v>
      </c>
      <c r="AS38" s="37" t="s">
        <v>61</v>
      </c>
      <c r="AT38" s="28" t="str">
        <f t="shared" si="4"/>
        <v>January</v>
      </c>
      <c r="AU38" s="13" t="str">
        <f t="shared" si="11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31</v>
      </c>
      <c r="BA38" s="30">
        <f>jan_repo[[#This Row],[Days]]-jan_repo[[#This Row],[Absent]]</f>
        <v>31</v>
      </c>
      <c r="BB38" s="31">
        <v>0</v>
      </c>
      <c r="BC38" s="32">
        <f>jan_repo[[#This Row],[Salary]]/jan_repo[[#This Row],[Days]]</f>
        <v>0</v>
      </c>
      <c r="BD38" s="30">
        <f>jan_repo[[#This Row],[Per Day Salary]]*jan_repo[[#This Row],[Absent]]</f>
        <v>0</v>
      </c>
      <c r="BE38" s="30">
        <f>jan_repo[[#This Row],[Salary]]-jan_repo[[#This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G7:I7"/>
    <mergeCell ref="L5:Q5"/>
  </mergeCells>
  <conditionalFormatting sqref="H5">
    <cfRule type="containsText" dxfId="375" priority="16" operator="containsText" text="WO">
      <formula>NOT(ISERROR(SEARCH("WO",H5)))</formula>
    </cfRule>
  </conditionalFormatting>
  <conditionalFormatting sqref="K9:M38">
    <cfRule type="containsText" dxfId="374" priority="9" operator="containsText" text="L">
      <formula>NOT(ISERROR(SEARCH("L",K9)))</formula>
    </cfRule>
    <cfRule type="containsText" dxfId="373" priority="15" operator="containsText" text="WO">
      <formula>NOT(ISERROR(SEARCH("WO",K9)))</formula>
    </cfRule>
  </conditionalFormatting>
  <conditionalFormatting sqref="A4:XFD4 A5:L5 R5:XFD5 BH1:XFD3 A1:AQ1 A2:AP3 A6:XFD1048576">
    <cfRule type="containsText" dxfId="372" priority="13" operator="containsText" text="WO">
      <formula>NOT(ISERROR(SEARCH("WO",A1)))</formula>
    </cfRule>
    <cfRule type="containsText" dxfId="371" priority="14" operator="containsText" text="WO">
      <formula>NOT(ISERROR(SEARCH("WO",A1)))</formula>
    </cfRule>
  </conditionalFormatting>
  <conditionalFormatting sqref="K9:AO38">
    <cfRule type="containsText" dxfId="370" priority="10" operator="containsText" text="L">
      <formula>NOT(ISERROR(SEARCH("L",K9)))</formula>
    </cfRule>
    <cfRule type="containsText" dxfId="369" priority="11" operator="containsText" text="A">
      <formula>NOT(ISERROR(SEARCH("A",K9)))</formula>
    </cfRule>
    <cfRule type="containsText" dxfId="368" priority="12" operator="containsText" text="P">
      <formula>NOT(ISERROR(SEARCH("P",K9)))</formula>
    </cfRule>
  </conditionalFormatting>
  <conditionalFormatting sqref="R9:T37 O38:T38 O9:Q38 O9:T13">
    <cfRule type="containsText" dxfId="367" priority="7" operator="containsText" text="L">
      <formula>NOT(ISERROR(SEARCH("L",O9)))</formula>
    </cfRule>
    <cfRule type="containsText" dxfId="366" priority="8" operator="containsText" text="WO">
      <formula>NOT(ISERROR(SEARCH("WO",O9)))</formula>
    </cfRule>
  </conditionalFormatting>
  <conditionalFormatting sqref="V9:AA38">
    <cfRule type="containsText" dxfId="365" priority="5" operator="containsText" text="L">
      <formula>NOT(ISERROR(SEARCH("L",V9)))</formula>
    </cfRule>
    <cfRule type="containsText" dxfId="364" priority="6" operator="containsText" text="WO">
      <formula>NOT(ISERROR(SEARCH("WO",V9)))</formula>
    </cfRule>
  </conditionalFormatting>
  <conditionalFormatting sqref="AC9:AH38">
    <cfRule type="containsText" dxfId="363" priority="3" operator="containsText" text="L">
      <formula>NOT(ISERROR(SEARCH("L",AC9)))</formula>
    </cfRule>
    <cfRule type="containsText" dxfId="362" priority="4" operator="containsText" text="WO">
      <formula>NOT(ISERROR(SEARCH("WO",AC9)))</formula>
    </cfRule>
  </conditionalFormatting>
  <conditionalFormatting sqref="AJ9:AO38">
    <cfRule type="containsText" dxfId="361" priority="1" operator="containsText" text="L">
      <formula>NOT(ISERROR(SEARCH("L",AJ9)))</formula>
    </cfRule>
    <cfRule type="containsText" dxfId="360" priority="2" operator="containsText" text="WO">
      <formula>NOT(ISERROR(SEARCH("WO",AJ9)))</formula>
    </cfRule>
  </conditionalFormatting>
  <dataValidations count="1">
    <dataValidation type="list" allowBlank="1" showInputMessage="1" showErrorMessage="1" sqref="AJ9:AO38 O9:T38 K9:M38 AC9:AH38 V9:AA38" xr:uid="{00000000-0002-0000-0000-000000000000}">
      <formula1>"P,A,L"</formula1>
    </dataValidation>
  </dataValidations>
  <pageMargins left="0.7" right="0.7" top="0.75" bottom="0.75" header="0.3" footer="0.3"/>
  <pageSetup orientation="landscape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000-000000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JAN!AV9:AY9</xm:f>
              <xm:sqref>BF9</xm:sqref>
            </x14:sparkline>
            <x14:sparkline>
              <xm:f>JAN!AV10:AY10</xm:f>
              <xm:sqref>BF10</xm:sqref>
            </x14:sparkline>
            <x14:sparkline>
              <xm:f>JAN!AV11:AY11</xm:f>
              <xm:sqref>BF11</xm:sqref>
            </x14:sparkline>
            <x14:sparkline>
              <xm:f>JAN!AV12:AY12</xm:f>
              <xm:sqref>BF12</xm:sqref>
            </x14:sparkline>
            <x14:sparkline>
              <xm:f>JAN!AV13:AY13</xm:f>
              <xm:sqref>BF13</xm:sqref>
            </x14:sparkline>
            <x14:sparkline>
              <xm:f>JAN!AV14:AY14</xm:f>
              <xm:sqref>BF14</xm:sqref>
            </x14:sparkline>
            <x14:sparkline>
              <xm:f>JAN!AV15:AY15</xm:f>
              <xm:sqref>BF15</xm:sqref>
            </x14:sparkline>
            <x14:sparkline>
              <xm:f>JAN!AV16:AY16</xm:f>
              <xm:sqref>BF16</xm:sqref>
            </x14:sparkline>
            <x14:sparkline>
              <xm:f>JAN!AV17:AY17</xm:f>
              <xm:sqref>BF17</xm:sqref>
            </x14:sparkline>
            <x14:sparkline>
              <xm:f>JAN!AV18:AY18</xm:f>
              <xm:sqref>BF18</xm:sqref>
            </x14:sparkline>
            <x14:sparkline>
              <xm:f>JAN!AV19:AY19</xm:f>
              <xm:sqref>BF19</xm:sqref>
            </x14:sparkline>
            <x14:sparkline>
              <xm:f>JAN!AV20:AY20</xm:f>
              <xm:sqref>BF20</xm:sqref>
            </x14:sparkline>
            <x14:sparkline>
              <xm:f>JAN!AV21:AY21</xm:f>
              <xm:sqref>BF21</xm:sqref>
            </x14:sparkline>
            <x14:sparkline>
              <xm:f>JAN!AV22:AY22</xm:f>
              <xm:sqref>BF22</xm:sqref>
            </x14:sparkline>
            <x14:sparkline>
              <xm:f>JAN!AV23:AY23</xm:f>
              <xm:sqref>BF23</xm:sqref>
            </x14:sparkline>
            <x14:sparkline>
              <xm:f>JAN!AV24:AY24</xm:f>
              <xm:sqref>BF24</xm:sqref>
            </x14:sparkline>
            <x14:sparkline>
              <xm:f>JAN!AV25:AY25</xm:f>
              <xm:sqref>BF25</xm:sqref>
            </x14:sparkline>
            <x14:sparkline>
              <xm:f>JAN!AV26:AY26</xm:f>
              <xm:sqref>BF26</xm:sqref>
            </x14:sparkline>
            <x14:sparkline>
              <xm:f>JAN!AV27:AY27</xm:f>
              <xm:sqref>BF27</xm:sqref>
            </x14:sparkline>
            <x14:sparkline>
              <xm:f>JAN!AV28:AY28</xm:f>
              <xm:sqref>BF28</xm:sqref>
            </x14:sparkline>
            <x14:sparkline>
              <xm:f>JAN!AV29:AY29</xm:f>
              <xm:sqref>BF29</xm:sqref>
            </x14:sparkline>
            <x14:sparkline>
              <xm:f>JAN!AV30:AY30</xm:f>
              <xm:sqref>BF30</xm:sqref>
            </x14:sparkline>
            <x14:sparkline>
              <xm:f>JAN!AV31:AY31</xm:f>
              <xm:sqref>BF31</xm:sqref>
            </x14:sparkline>
            <x14:sparkline>
              <xm:f>JAN!AV32:AY32</xm:f>
              <xm:sqref>BF32</xm:sqref>
            </x14:sparkline>
            <x14:sparkline>
              <xm:f>JAN!AV33:AY33</xm:f>
              <xm:sqref>BF33</xm:sqref>
            </x14:sparkline>
            <x14:sparkline>
              <xm:f>JAN!AV34:AY34</xm:f>
              <xm:sqref>BF34</xm:sqref>
            </x14:sparkline>
            <x14:sparkline>
              <xm:f>JAN!AV35:AY35</xm:f>
              <xm:sqref>BF35</xm:sqref>
            </x14:sparkline>
            <x14:sparkline>
              <xm:f>JAN!AV36:AY36</xm:f>
              <xm:sqref>BF36</xm:sqref>
            </x14:sparkline>
            <x14:sparkline>
              <xm:f>JAN!AV37:AY37</xm:f>
              <xm:sqref>BF37</xm:sqref>
            </x14:sparkline>
            <x14:sparkline>
              <xm:f>JAN!AV38:AY38</xm:f>
              <xm:sqref>BF38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Z163"/>
  <sheetViews>
    <sheetView topLeftCell="G1" zoomScaleNormal="100" workbookViewId="0">
      <selection activeCell="I9" sqref="I9:I12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46054</v>
      </c>
      <c r="I5" s="42">
        <f>(DATEDIF($H$5,$L$5,"D"))+1</f>
        <v>28</v>
      </c>
      <c r="J5" s="42" t="str">
        <f>TEXT(H5,"MMMM")</f>
        <v>February</v>
      </c>
      <c r="K5" s="42" t="s">
        <v>64</v>
      </c>
      <c r="L5" s="46">
        <f>EOMONTH(H5,0)</f>
        <v>46081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Sun</v>
      </c>
      <c r="L7" s="4" t="str">
        <f t="shared" ref="L7:AO7" si="0">TEXT(L8,"DDD")</f>
        <v>Mon</v>
      </c>
      <c r="M7" s="4" t="str">
        <f t="shared" si="0"/>
        <v>Tue</v>
      </c>
      <c r="N7" s="4" t="str">
        <f t="shared" si="0"/>
        <v>Wed</v>
      </c>
      <c r="O7" s="4" t="str">
        <f t="shared" si="0"/>
        <v>Thu</v>
      </c>
      <c r="P7" s="4" t="str">
        <f t="shared" si="0"/>
        <v>Fri</v>
      </c>
      <c r="Q7" s="4" t="str">
        <f t="shared" si="0"/>
        <v>Sat</v>
      </c>
      <c r="R7" s="4" t="str">
        <f t="shared" si="0"/>
        <v>Sun</v>
      </c>
      <c r="S7" s="4" t="str">
        <f t="shared" si="0"/>
        <v>Mon</v>
      </c>
      <c r="T7" s="4" t="str">
        <f t="shared" si="0"/>
        <v>Tue</v>
      </c>
      <c r="U7" s="4" t="str">
        <f t="shared" si="0"/>
        <v>Wed</v>
      </c>
      <c r="V7" s="4" t="str">
        <f t="shared" si="0"/>
        <v>Thu</v>
      </c>
      <c r="W7" s="4" t="str">
        <f t="shared" si="0"/>
        <v>Fri</v>
      </c>
      <c r="X7" s="4" t="str">
        <f t="shared" si="0"/>
        <v>Sat</v>
      </c>
      <c r="Y7" s="4" t="str">
        <f t="shared" si="0"/>
        <v>Sun</v>
      </c>
      <c r="Z7" s="4" t="str">
        <f t="shared" si="0"/>
        <v>Mon</v>
      </c>
      <c r="AA7" s="4" t="str">
        <f t="shared" si="0"/>
        <v>Tue</v>
      </c>
      <c r="AB7" s="4" t="str">
        <f t="shared" si="0"/>
        <v>Wed</v>
      </c>
      <c r="AC7" s="4" t="str">
        <f t="shared" si="0"/>
        <v>Thu</v>
      </c>
      <c r="AD7" s="4" t="str">
        <f t="shared" si="0"/>
        <v>Fri</v>
      </c>
      <c r="AE7" s="4" t="str">
        <f t="shared" si="0"/>
        <v>Sat</v>
      </c>
      <c r="AF7" s="4" t="str">
        <f t="shared" si="0"/>
        <v>Sun</v>
      </c>
      <c r="AG7" s="4" t="str">
        <f t="shared" si="0"/>
        <v>Mon</v>
      </c>
      <c r="AH7" s="4" t="str">
        <f t="shared" si="0"/>
        <v>Tue</v>
      </c>
      <c r="AI7" s="4" t="str">
        <f t="shared" si="0"/>
        <v>Wed</v>
      </c>
      <c r="AJ7" s="4" t="str">
        <f t="shared" si="0"/>
        <v>Thu</v>
      </c>
      <c r="AK7" s="4" t="str">
        <f t="shared" si="0"/>
        <v>Fri</v>
      </c>
      <c r="AL7" s="4" t="str">
        <f t="shared" si="0"/>
        <v>Sat</v>
      </c>
      <c r="AM7" s="4" t="str">
        <f t="shared" si="0"/>
        <v/>
      </c>
      <c r="AN7" s="4" t="str">
        <f t="shared" si="0"/>
        <v/>
      </c>
      <c r="AO7" s="4" t="str">
        <f t="shared" si="0"/>
        <v/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46054</v>
      </c>
      <c r="L8" s="9">
        <f>IF(K8&lt;$L$5,K8+1,"")</f>
        <v>46055</v>
      </c>
      <c r="M8" s="9">
        <f t="shared" ref="M8:AM8" si="1">IF(L8&lt;$L$5,L8+1,"")</f>
        <v>46056</v>
      </c>
      <c r="N8" s="9">
        <f t="shared" si="1"/>
        <v>46057</v>
      </c>
      <c r="O8" s="9">
        <f t="shared" si="1"/>
        <v>46058</v>
      </c>
      <c r="P8" s="9">
        <f t="shared" si="1"/>
        <v>46059</v>
      </c>
      <c r="Q8" s="9">
        <f t="shared" si="1"/>
        <v>46060</v>
      </c>
      <c r="R8" s="9">
        <f t="shared" si="1"/>
        <v>46061</v>
      </c>
      <c r="S8" s="9">
        <f t="shared" si="1"/>
        <v>46062</v>
      </c>
      <c r="T8" s="9">
        <f t="shared" si="1"/>
        <v>46063</v>
      </c>
      <c r="U8" s="9">
        <f t="shared" si="1"/>
        <v>46064</v>
      </c>
      <c r="V8" s="9">
        <f t="shared" si="1"/>
        <v>46065</v>
      </c>
      <c r="W8" s="9">
        <f t="shared" si="1"/>
        <v>46066</v>
      </c>
      <c r="X8" s="9">
        <f t="shared" si="1"/>
        <v>46067</v>
      </c>
      <c r="Y8" s="9">
        <f t="shared" si="1"/>
        <v>46068</v>
      </c>
      <c r="Z8" s="9">
        <f t="shared" si="1"/>
        <v>46069</v>
      </c>
      <c r="AA8" s="9">
        <f t="shared" si="1"/>
        <v>46070</v>
      </c>
      <c r="AB8" s="9">
        <f t="shared" si="1"/>
        <v>46071</v>
      </c>
      <c r="AC8" s="9">
        <f t="shared" si="1"/>
        <v>46072</v>
      </c>
      <c r="AD8" s="9">
        <f t="shared" si="1"/>
        <v>46073</v>
      </c>
      <c r="AE8" s="9">
        <f t="shared" si="1"/>
        <v>46074</v>
      </c>
      <c r="AF8" s="9">
        <f t="shared" si="1"/>
        <v>46075</v>
      </c>
      <c r="AG8" s="9">
        <f t="shared" si="1"/>
        <v>46076</v>
      </c>
      <c r="AH8" s="9">
        <f t="shared" si="1"/>
        <v>46077</v>
      </c>
      <c r="AI8" s="9">
        <f t="shared" si="1"/>
        <v>46078</v>
      </c>
      <c r="AJ8" s="9">
        <f t="shared" si="1"/>
        <v>46079</v>
      </c>
      <c r="AK8" s="9">
        <f t="shared" si="1"/>
        <v>46080</v>
      </c>
      <c r="AL8" s="9">
        <f t="shared" si="1"/>
        <v>46081</v>
      </c>
      <c r="AM8" s="9" t="str">
        <f t="shared" si="1"/>
        <v/>
      </c>
      <c r="AN8" s="9" t="str">
        <f t="shared" ref="AN8:AO8" si="2">IF(AM8&lt;=$L$5,AM8+1,"")</f>
        <v/>
      </c>
      <c r="AO8" s="10" t="str">
        <f t="shared" si="2"/>
        <v/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 t="str">
        <f>IF(K$7="Sun","WO","")</f>
        <v>WO</v>
      </c>
      <c r="L9" s="15"/>
      <c r="M9" s="15"/>
      <c r="N9" s="15"/>
      <c r="O9" s="15"/>
      <c r="P9" s="15"/>
      <c r="Q9" s="15"/>
      <c r="R9" s="15" t="str">
        <f t="shared" ref="R9:AF17" si="3">IF(R$7="Sun","WO","")</f>
        <v>WO</v>
      </c>
      <c r="S9" s="15"/>
      <c r="T9" s="15"/>
      <c r="U9" s="15"/>
      <c r="V9" s="15"/>
      <c r="W9" s="15"/>
      <c r="X9" s="15"/>
      <c r="Y9" s="15" t="str">
        <f t="shared" si="3"/>
        <v>WO</v>
      </c>
      <c r="Z9" s="15"/>
      <c r="AA9" s="15"/>
      <c r="AB9" s="15"/>
      <c r="AC9" s="15"/>
      <c r="AD9" s="15"/>
      <c r="AE9" s="15"/>
      <c r="AF9" s="15" t="str">
        <f t="shared" si="3"/>
        <v>WO</v>
      </c>
      <c r="AG9" s="15"/>
      <c r="AH9" s="15"/>
      <c r="AI9" s="15"/>
      <c r="AJ9" s="15"/>
      <c r="AK9" s="15"/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February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28</v>
      </c>
      <c r="BA9" s="30">
        <f>feb_repo[[#This Row],[Days]]-feb_repo[[#This Row],[Absent]]</f>
        <v>28</v>
      </c>
      <c r="BB9" s="31">
        <v>11000</v>
      </c>
      <c r="BC9" s="32">
        <f>feb_repo[[#This Row],[Salary]]/feb_repo[[#This Row],[Days]]</f>
        <v>392.85714285714283</v>
      </c>
      <c r="BD9" s="30">
        <f>feb_repo[[#This Row],[Per Day Salary]]*feb_repo[[#This Row],[Absent]]</f>
        <v>0</v>
      </c>
      <c r="BE9" s="30">
        <f>feb_repo[[#This Row],[Salary]]-feb_repo[[#This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 t="str">
        <f t="shared" ref="K10:Y33" si="10">IF(K$7="Sun","WO","")</f>
        <v>WO</v>
      </c>
      <c r="L10" s="15"/>
      <c r="M10" s="15"/>
      <c r="N10" s="15"/>
      <c r="O10" s="15"/>
      <c r="P10" s="15"/>
      <c r="Q10" s="15"/>
      <c r="R10" s="15" t="str">
        <f t="shared" si="3"/>
        <v>WO</v>
      </c>
      <c r="S10" s="15"/>
      <c r="T10" s="15"/>
      <c r="U10" s="15"/>
      <c r="V10" s="15"/>
      <c r="W10" s="15"/>
      <c r="X10" s="15"/>
      <c r="Y10" s="15" t="str">
        <f t="shared" si="3"/>
        <v>WO</v>
      </c>
      <c r="Z10" s="15"/>
      <c r="AA10" s="15"/>
      <c r="AB10" s="15"/>
      <c r="AC10" s="15"/>
      <c r="AD10" s="15"/>
      <c r="AE10" s="15"/>
      <c r="AF10" s="15" t="str">
        <f t="shared" si="3"/>
        <v>WO</v>
      </c>
      <c r="AG10" s="15"/>
      <c r="AH10" s="15"/>
      <c r="AI10" s="15"/>
      <c r="AJ10" s="15"/>
      <c r="AK10" s="15"/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February</v>
      </c>
      <c r="AU10" s="29" t="str">
        <f t="shared" ref="AU10:AU38" si="11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28</v>
      </c>
      <c r="BA10" s="30">
        <f>feb_repo[[#This Row],[Days]]-feb_repo[[#This Row],[Absent]]</f>
        <v>28</v>
      </c>
      <c r="BB10" s="31">
        <v>11000</v>
      </c>
      <c r="BC10" s="32">
        <f>feb_repo[[#This Row],[Salary]]/feb_repo[[#This Row],[Days]]</f>
        <v>392.85714285714283</v>
      </c>
      <c r="BD10" s="30">
        <f>feb_repo[[#This Row],[Per Day Salary]]*feb_repo[[#This Row],[Absent]]</f>
        <v>0</v>
      </c>
      <c r="BE10" s="30">
        <f>feb_repo[[#This Row],[Salary]]-feb_repo[[#This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 t="str">
        <f t="shared" si="10"/>
        <v>WO</v>
      </c>
      <c r="L11" s="15"/>
      <c r="M11" s="15"/>
      <c r="N11" s="15"/>
      <c r="O11" s="15"/>
      <c r="P11" s="15"/>
      <c r="Q11" s="15"/>
      <c r="R11" s="15" t="str">
        <f t="shared" si="3"/>
        <v>WO</v>
      </c>
      <c r="S11" s="15"/>
      <c r="T11" s="15"/>
      <c r="U11" s="15"/>
      <c r="V11" s="15"/>
      <c r="W11" s="15"/>
      <c r="X11" s="15"/>
      <c r="Y11" s="15" t="str">
        <f t="shared" si="3"/>
        <v>WO</v>
      </c>
      <c r="Z11" s="15"/>
      <c r="AA11" s="15"/>
      <c r="AB11" s="15"/>
      <c r="AC11" s="15"/>
      <c r="AD11" s="15"/>
      <c r="AE11" s="15"/>
      <c r="AF11" s="15" t="str">
        <f t="shared" si="3"/>
        <v>WO</v>
      </c>
      <c r="AG11" s="15"/>
      <c r="AH11" s="15" t="s">
        <v>80</v>
      </c>
      <c r="AI11" s="15"/>
      <c r="AJ11" s="15"/>
      <c r="AK11" s="15"/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February</v>
      </c>
      <c r="AU11" s="29" t="str">
        <f t="shared" si="11"/>
        <v>VAIBHAV</v>
      </c>
      <c r="AV11" s="30">
        <f t="shared" si="5"/>
        <v>0</v>
      </c>
      <c r="AW11" s="30">
        <f t="shared" si="6"/>
        <v>0</v>
      </c>
      <c r="AX11" s="30">
        <f t="shared" si="7"/>
        <v>1</v>
      </c>
      <c r="AY11" s="30">
        <f t="shared" si="8"/>
        <v>4</v>
      </c>
      <c r="AZ11" s="30">
        <f t="shared" si="9"/>
        <v>28</v>
      </c>
      <c r="BA11" s="30">
        <f>feb_repo[[#This Row],[Days]]-feb_repo[[#This Row],[Absent]]</f>
        <v>28</v>
      </c>
      <c r="BB11" s="31">
        <v>11000</v>
      </c>
      <c r="BC11" s="32">
        <f>feb_repo[[#This Row],[Salary]]/feb_repo[[#This Row],[Days]]</f>
        <v>392.85714285714283</v>
      </c>
      <c r="BD11" s="30">
        <f>feb_repo[[#This Row],[Per Day Salary]]*feb_repo[[#This Row],[Absent]]</f>
        <v>0</v>
      </c>
      <c r="BE11" s="30">
        <f>feb_repo[[#This Row],[Salary]]-feb_repo[[#This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 t="str">
        <f t="shared" si="10"/>
        <v>WO</v>
      </c>
      <c r="L12" s="15"/>
      <c r="M12" s="15"/>
      <c r="N12" s="15"/>
      <c r="O12" s="15"/>
      <c r="P12" s="15"/>
      <c r="Q12" s="15"/>
      <c r="R12" s="15" t="str">
        <f t="shared" si="3"/>
        <v>WO</v>
      </c>
      <c r="S12" s="15"/>
      <c r="T12" s="15"/>
      <c r="U12" s="15"/>
      <c r="V12" s="15"/>
      <c r="W12" s="15"/>
      <c r="X12" s="15"/>
      <c r="Y12" s="15" t="str">
        <f t="shared" si="3"/>
        <v>WO</v>
      </c>
      <c r="Z12" s="15"/>
      <c r="AA12" s="15"/>
      <c r="AB12" s="15"/>
      <c r="AC12" s="15"/>
      <c r="AD12" s="15"/>
      <c r="AE12" s="15"/>
      <c r="AF12" s="15" t="str">
        <f t="shared" si="3"/>
        <v>WO</v>
      </c>
      <c r="AG12" s="15"/>
      <c r="AH12" s="15"/>
      <c r="AI12" s="15"/>
      <c r="AJ12" s="15"/>
      <c r="AK12" s="15"/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February</v>
      </c>
      <c r="AU12" s="29" t="str">
        <f t="shared" si="11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28</v>
      </c>
      <c r="BA12" s="30">
        <f>feb_repo[[#This Row],[Days]]-feb_repo[[#This Row],[Absent]]</f>
        <v>28</v>
      </c>
      <c r="BB12" s="31">
        <v>11000</v>
      </c>
      <c r="BC12" s="32">
        <f>feb_repo[[#This Row],[Salary]]/feb_repo[[#This Row],[Days]]</f>
        <v>392.85714285714283</v>
      </c>
      <c r="BD12" s="30">
        <f>feb_repo[[#This Row],[Per Day Salary]]*feb_repo[[#This Row],[Absent]]</f>
        <v>0</v>
      </c>
      <c r="BE12" s="30">
        <f>feb_repo[[#This Row],[Salary]]-feb_repo[[#This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 t="str">
        <f t="shared" si="10"/>
        <v>WO</v>
      </c>
      <c r="L13" s="15"/>
      <c r="M13" s="15"/>
      <c r="N13" s="15"/>
      <c r="O13" s="15"/>
      <c r="P13" s="15"/>
      <c r="Q13" s="15"/>
      <c r="R13" s="15" t="str">
        <f t="shared" si="3"/>
        <v>WO</v>
      </c>
      <c r="S13" s="15"/>
      <c r="T13" s="15"/>
      <c r="U13" s="15"/>
      <c r="V13" s="15"/>
      <c r="W13" s="15"/>
      <c r="X13" s="15"/>
      <c r="Y13" s="15" t="str">
        <f t="shared" si="3"/>
        <v>WO</v>
      </c>
      <c r="Z13" s="15"/>
      <c r="AA13" s="15"/>
      <c r="AB13" s="15"/>
      <c r="AC13" s="15"/>
      <c r="AD13" s="15"/>
      <c r="AE13" s="15"/>
      <c r="AF13" s="15" t="str">
        <f t="shared" si="3"/>
        <v>WO</v>
      </c>
      <c r="AG13" s="15"/>
      <c r="AH13" s="15"/>
      <c r="AI13" s="15"/>
      <c r="AJ13" s="15"/>
      <c r="AK13" s="15"/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February</v>
      </c>
      <c r="AU13" s="29" t="str">
        <f t="shared" si="11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28</v>
      </c>
      <c r="BA13" s="30">
        <f>feb_repo[[#This Row],[Days]]-feb_repo[[#This Row],[Absent]]</f>
        <v>28</v>
      </c>
      <c r="BB13" s="31">
        <v>0</v>
      </c>
      <c r="BC13" s="32">
        <f>feb_repo[[#This Row],[Salary]]/feb_repo[[#This Row],[Days]]</f>
        <v>0</v>
      </c>
      <c r="BD13" s="30">
        <f>feb_repo[[#This Row],[Per Day Salary]]*feb_repo[[#This Row],[Absent]]</f>
        <v>0</v>
      </c>
      <c r="BE13" s="30">
        <f>feb_repo[[#This Row],[Salary]]-feb_repo[[#This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 t="str">
        <f t="shared" si="10"/>
        <v>WO</v>
      </c>
      <c r="L14" s="15"/>
      <c r="M14" s="15"/>
      <c r="N14" s="15"/>
      <c r="O14" s="15"/>
      <c r="P14" s="15"/>
      <c r="Q14" s="15"/>
      <c r="R14" s="15" t="str">
        <f t="shared" si="3"/>
        <v>WO</v>
      </c>
      <c r="S14" s="15"/>
      <c r="T14" s="15"/>
      <c r="U14" s="15"/>
      <c r="V14" s="15"/>
      <c r="W14" s="15"/>
      <c r="X14" s="15"/>
      <c r="Y14" s="15" t="str">
        <f t="shared" si="3"/>
        <v>WO</v>
      </c>
      <c r="Z14" s="15"/>
      <c r="AA14" s="15"/>
      <c r="AB14" s="15"/>
      <c r="AC14" s="15"/>
      <c r="AD14" s="15"/>
      <c r="AE14" s="15"/>
      <c r="AF14" s="15" t="str">
        <f t="shared" si="3"/>
        <v>WO</v>
      </c>
      <c r="AG14" s="15"/>
      <c r="AH14" s="15"/>
      <c r="AI14" s="15"/>
      <c r="AJ14" s="15"/>
      <c r="AK14" s="15"/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February</v>
      </c>
      <c r="AU14" s="29" t="str">
        <f t="shared" si="11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28</v>
      </c>
      <c r="BA14" s="30">
        <f>feb_repo[[#This Row],[Days]]-feb_repo[[#This Row],[Absent]]</f>
        <v>28</v>
      </c>
      <c r="BB14" s="31">
        <v>0</v>
      </c>
      <c r="BC14" s="32">
        <f>feb_repo[[#This Row],[Salary]]/feb_repo[[#This Row],[Days]]</f>
        <v>0</v>
      </c>
      <c r="BD14" s="30">
        <f>feb_repo[[#This Row],[Per Day Salary]]*feb_repo[[#This Row],[Absent]]</f>
        <v>0</v>
      </c>
      <c r="BE14" s="30">
        <f>feb_repo[[#This Row],[Salary]]-feb_repo[[#This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 t="str">
        <f t="shared" si="10"/>
        <v>WO</v>
      </c>
      <c r="L15" s="15"/>
      <c r="M15" s="15"/>
      <c r="N15" s="15"/>
      <c r="O15" s="15"/>
      <c r="P15" s="15"/>
      <c r="Q15" s="15"/>
      <c r="R15" s="15" t="str">
        <f t="shared" si="3"/>
        <v>WO</v>
      </c>
      <c r="S15" s="15"/>
      <c r="T15" s="15"/>
      <c r="U15" s="15"/>
      <c r="V15" s="15"/>
      <c r="W15" s="15"/>
      <c r="X15" s="15"/>
      <c r="Y15" s="15" t="str">
        <f t="shared" si="3"/>
        <v>WO</v>
      </c>
      <c r="Z15" s="15"/>
      <c r="AA15" s="15"/>
      <c r="AB15" s="15"/>
      <c r="AC15" s="15"/>
      <c r="AD15" s="15"/>
      <c r="AE15" s="15"/>
      <c r="AF15" s="15" t="str">
        <f t="shared" si="3"/>
        <v>WO</v>
      </c>
      <c r="AG15" s="15"/>
      <c r="AH15" s="15"/>
      <c r="AI15" s="15"/>
      <c r="AJ15" s="15"/>
      <c r="AK15" s="15"/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February</v>
      </c>
      <c r="AU15" s="29" t="str">
        <f t="shared" si="11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28</v>
      </c>
      <c r="BA15" s="30">
        <f>feb_repo[[#This Row],[Days]]-feb_repo[[#This Row],[Absent]]</f>
        <v>28</v>
      </c>
      <c r="BB15" s="31">
        <v>0</v>
      </c>
      <c r="BC15" s="32">
        <f>feb_repo[[#This Row],[Salary]]/feb_repo[[#This Row],[Days]]</f>
        <v>0</v>
      </c>
      <c r="BD15" s="30">
        <f>feb_repo[[#This Row],[Per Day Salary]]*feb_repo[[#This Row],[Absent]]</f>
        <v>0</v>
      </c>
      <c r="BE15" s="30">
        <f>feb_repo[[#This Row],[Salary]]-feb_repo[[#This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 t="str">
        <f t="shared" si="10"/>
        <v>WO</v>
      </c>
      <c r="L16" s="15"/>
      <c r="M16" s="15"/>
      <c r="N16" s="15"/>
      <c r="O16" s="15"/>
      <c r="P16" s="15"/>
      <c r="Q16" s="15"/>
      <c r="R16" s="15" t="str">
        <f t="shared" si="3"/>
        <v>WO</v>
      </c>
      <c r="S16" s="15"/>
      <c r="T16" s="15"/>
      <c r="U16" s="15"/>
      <c r="V16" s="15"/>
      <c r="W16" s="15"/>
      <c r="X16" s="15"/>
      <c r="Y16" s="15" t="str">
        <f t="shared" si="3"/>
        <v>WO</v>
      </c>
      <c r="Z16" s="15"/>
      <c r="AA16" s="15"/>
      <c r="AB16" s="15"/>
      <c r="AC16" s="15"/>
      <c r="AD16" s="15"/>
      <c r="AE16" s="15"/>
      <c r="AF16" s="15" t="str">
        <f t="shared" si="3"/>
        <v>WO</v>
      </c>
      <c r="AG16" s="15"/>
      <c r="AH16" s="15"/>
      <c r="AI16" s="15"/>
      <c r="AJ16" s="15"/>
      <c r="AK16" s="15"/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February</v>
      </c>
      <c r="AU16" s="29" t="str">
        <f t="shared" si="11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28</v>
      </c>
      <c r="BA16" s="30">
        <f>feb_repo[[#This Row],[Days]]-feb_repo[[#This Row],[Absent]]</f>
        <v>28</v>
      </c>
      <c r="BB16" s="31">
        <v>0</v>
      </c>
      <c r="BC16" s="32">
        <f>feb_repo[[#This Row],[Salary]]/feb_repo[[#This Row],[Days]]</f>
        <v>0</v>
      </c>
      <c r="BD16" s="30">
        <f>feb_repo[[#This Row],[Per Day Salary]]*feb_repo[[#This Row],[Absent]]</f>
        <v>0</v>
      </c>
      <c r="BE16" s="30">
        <f>feb_repo[[#This Row],[Salary]]-feb_repo[[#This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 t="str">
        <f t="shared" si="10"/>
        <v>WO</v>
      </c>
      <c r="L17" s="15"/>
      <c r="M17" s="15"/>
      <c r="N17" s="15"/>
      <c r="O17" s="15"/>
      <c r="P17" s="15"/>
      <c r="Q17" s="15"/>
      <c r="R17" s="15" t="str">
        <f t="shared" si="3"/>
        <v>WO</v>
      </c>
      <c r="S17" s="15"/>
      <c r="T17" s="15"/>
      <c r="U17" s="15"/>
      <c r="V17" s="15"/>
      <c r="W17" s="15"/>
      <c r="X17" s="15"/>
      <c r="Y17" s="15" t="str">
        <f t="shared" si="3"/>
        <v>WO</v>
      </c>
      <c r="Z17" s="15"/>
      <c r="AA17" s="15"/>
      <c r="AB17" s="15"/>
      <c r="AC17" s="15"/>
      <c r="AD17" s="15"/>
      <c r="AE17" s="15"/>
      <c r="AF17" s="15" t="str">
        <f t="shared" ref="AF17:AF32" si="12">IF(AF$7="Sun","WO","")</f>
        <v>WO</v>
      </c>
      <c r="AG17" s="15"/>
      <c r="AH17" s="15"/>
      <c r="AI17" s="15"/>
      <c r="AJ17" s="15"/>
      <c r="AK17" s="15"/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February</v>
      </c>
      <c r="AU17" s="29" t="str">
        <f t="shared" si="11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28</v>
      </c>
      <c r="BA17" s="30">
        <f>feb_repo[[#This Row],[Days]]-feb_repo[[#This Row],[Absent]]</f>
        <v>28</v>
      </c>
      <c r="BB17" s="31">
        <v>0</v>
      </c>
      <c r="BC17" s="32">
        <f>feb_repo[[#This Row],[Salary]]/feb_repo[[#This Row],[Days]]</f>
        <v>0</v>
      </c>
      <c r="BD17" s="30">
        <f>feb_repo[[#This Row],[Per Day Salary]]*feb_repo[[#This Row],[Absent]]</f>
        <v>0</v>
      </c>
      <c r="BE17" s="30">
        <f>feb_repo[[#This Row],[Salary]]-feb_repo[[#This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 t="str">
        <f t="shared" si="10"/>
        <v>WO</v>
      </c>
      <c r="L18" s="15"/>
      <c r="M18" s="15"/>
      <c r="N18" s="15"/>
      <c r="O18" s="15"/>
      <c r="P18" s="15"/>
      <c r="Q18" s="15"/>
      <c r="R18" s="15" t="str">
        <f t="shared" si="10"/>
        <v>WO</v>
      </c>
      <c r="S18" s="15"/>
      <c r="T18" s="15"/>
      <c r="U18" s="15"/>
      <c r="V18" s="15"/>
      <c r="W18" s="15"/>
      <c r="X18" s="15"/>
      <c r="Y18" s="15" t="str">
        <f t="shared" si="10"/>
        <v>WO</v>
      </c>
      <c r="Z18" s="15"/>
      <c r="AA18" s="15"/>
      <c r="AB18" s="15"/>
      <c r="AC18" s="15"/>
      <c r="AD18" s="15"/>
      <c r="AE18" s="15"/>
      <c r="AF18" s="15" t="str">
        <f t="shared" si="12"/>
        <v>WO</v>
      </c>
      <c r="AG18" s="15"/>
      <c r="AH18" s="15"/>
      <c r="AI18" s="15"/>
      <c r="AJ18" s="15"/>
      <c r="AK18" s="15"/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February</v>
      </c>
      <c r="AU18" s="29" t="str">
        <f t="shared" si="11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28</v>
      </c>
      <c r="BA18" s="30">
        <f>feb_repo[[#This Row],[Days]]-feb_repo[[#This Row],[Absent]]</f>
        <v>28</v>
      </c>
      <c r="BB18" s="31">
        <v>0</v>
      </c>
      <c r="BC18" s="32">
        <f>feb_repo[[#This Row],[Salary]]/feb_repo[[#This Row],[Days]]</f>
        <v>0</v>
      </c>
      <c r="BD18" s="30">
        <f>feb_repo[[#This Row],[Per Day Salary]]*feb_repo[[#This Row],[Absent]]</f>
        <v>0</v>
      </c>
      <c r="BE18" s="30">
        <f>feb_repo[[#This Row],[Salary]]-feb_repo[[#This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 t="str">
        <f t="shared" si="10"/>
        <v>WO</v>
      </c>
      <c r="L19" s="15"/>
      <c r="M19" s="15"/>
      <c r="N19" s="15"/>
      <c r="O19" s="15"/>
      <c r="P19" s="15"/>
      <c r="Q19" s="15"/>
      <c r="R19" s="15" t="str">
        <f t="shared" si="10"/>
        <v>WO</v>
      </c>
      <c r="S19" s="15"/>
      <c r="T19" s="15"/>
      <c r="U19" s="15"/>
      <c r="V19" s="15"/>
      <c r="W19" s="15"/>
      <c r="X19" s="15"/>
      <c r="Y19" s="15" t="str">
        <f t="shared" si="10"/>
        <v>WO</v>
      </c>
      <c r="Z19" s="15"/>
      <c r="AA19" s="15"/>
      <c r="AB19" s="15"/>
      <c r="AC19" s="15"/>
      <c r="AD19" s="15"/>
      <c r="AE19" s="15"/>
      <c r="AF19" s="15" t="str">
        <f t="shared" si="12"/>
        <v>WO</v>
      </c>
      <c r="AG19" s="15"/>
      <c r="AH19" s="15"/>
      <c r="AI19" s="15"/>
      <c r="AJ19" s="15"/>
      <c r="AK19" s="15"/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February</v>
      </c>
      <c r="AU19" s="29" t="str">
        <f t="shared" si="11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28</v>
      </c>
      <c r="BA19" s="30">
        <f>feb_repo[[#This Row],[Days]]-feb_repo[[#This Row],[Absent]]</f>
        <v>28</v>
      </c>
      <c r="BB19" s="31">
        <v>0</v>
      </c>
      <c r="BC19" s="32">
        <f>feb_repo[[#This Row],[Salary]]/feb_repo[[#This Row],[Days]]</f>
        <v>0</v>
      </c>
      <c r="BD19" s="30">
        <f>feb_repo[[#This Row],[Per Day Salary]]*feb_repo[[#This Row],[Absent]]</f>
        <v>0</v>
      </c>
      <c r="BE19" s="30">
        <f>feb_repo[[#This Row],[Salary]]-feb_repo[[#This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 t="str">
        <f t="shared" si="10"/>
        <v>WO</v>
      </c>
      <c r="L20" s="15"/>
      <c r="M20" s="15"/>
      <c r="N20" s="15"/>
      <c r="O20" s="15"/>
      <c r="P20" s="15"/>
      <c r="Q20" s="15"/>
      <c r="R20" s="15" t="str">
        <f t="shared" si="10"/>
        <v>WO</v>
      </c>
      <c r="S20" s="15"/>
      <c r="T20" s="15"/>
      <c r="U20" s="15"/>
      <c r="V20" s="15"/>
      <c r="W20" s="15"/>
      <c r="X20" s="15"/>
      <c r="Y20" s="15" t="str">
        <f t="shared" si="10"/>
        <v>WO</v>
      </c>
      <c r="Z20" s="15"/>
      <c r="AA20" s="15"/>
      <c r="AB20" s="15"/>
      <c r="AC20" s="15"/>
      <c r="AD20" s="15"/>
      <c r="AE20" s="15"/>
      <c r="AF20" s="15" t="str">
        <f t="shared" si="12"/>
        <v>WO</v>
      </c>
      <c r="AG20" s="15"/>
      <c r="AH20" s="15"/>
      <c r="AI20" s="15"/>
      <c r="AJ20" s="15"/>
      <c r="AK20" s="15"/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February</v>
      </c>
      <c r="AU20" s="29" t="str">
        <f t="shared" si="11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28</v>
      </c>
      <c r="BA20" s="30">
        <f>feb_repo[[#This Row],[Days]]-feb_repo[[#This Row],[Absent]]</f>
        <v>28</v>
      </c>
      <c r="BB20" s="31">
        <v>0</v>
      </c>
      <c r="BC20" s="32">
        <f>feb_repo[[#This Row],[Salary]]/feb_repo[[#This Row],[Days]]</f>
        <v>0</v>
      </c>
      <c r="BD20" s="30">
        <f>feb_repo[[#This Row],[Per Day Salary]]*feb_repo[[#This Row],[Absent]]</f>
        <v>0</v>
      </c>
      <c r="BE20" s="30">
        <f>feb_repo[[#This Row],[Salary]]-feb_repo[[#This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 t="str">
        <f t="shared" si="10"/>
        <v>WO</v>
      </c>
      <c r="L21" s="15"/>
      <c r="M21" s="15"/>
      <c r="N21" s="15"/>
      <c r="O21" s="15"/>
      <c r="P21" s="15"/>
      <c r="Q21" s="15"/>
      <c r="R21" s="15" t="str">
        <f t="shared" si="10"/>
        <v>WO</v>
      </c>
      <c r="S21" s="15"/>
      <c r="T21" s="15"/>
      <c r="U21" s="15"/>
      <c r="V21" s="15"/>
      <c r="W21" s="15"/>
      <c r="X21" s="15"/>
      <c r="Y21" s="15" t="str">
        <f t="shared" si="10"/>
        <v>WO</v>
      </c>
      <c r="Z21" s="15"/>
      <c r="AA21" s="15"/>
      <c r="AB21" s="15"/>
      <c r="AC21" s="15"/>
      <c r="AD21" s="15"/>
      <c r="AE21" s="15"/>
      <c r="AF21" s="15" t="str">
        <f t="shared" si="12"/>
        <v>WO</v>
      </c>
      <c r="AG21" s="15"/>
      <c r="AH21" s="15"/>
      <c r="AI21" s="15"/>
      <c r="AJ21" s="15"/>
      <c r="AK21" s="15"/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February</v>
      </c>
      <c r="AU21" s="29" t="str">
        <f t="shared" si="11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28</v>
      </c>
      <c r="BA21" s="30">
        <f>feb_repo[[#This Row],[Days]]-feb_repo[[#This Row],[Absent]]</f>
        <v>28</v>
      </c>
      <c r="BB21" s="31">
        <v>0</v>
      </c>
      <c r="BC21" s="32">
        <f>feb_repo[[#This Row],[Salary]]/feb_repo[[#This Row],[Days]]</f>
        <v>0</v>
      </c>
      <c r="BD21" s="30">
        <f>feb_repo[[#This Row],[Per Day Salary]]*feb_repo[[#This Row],[Absent]]</f>
        <v>0</v>
      </c>
      <c r="BE21" s="30">
        <f>feb_repo[[#This Row],[Salary]]-feb_repo[[#This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 t="str">
        <f t="shared" si="10"/>
        <v>WO</v>
      </c>
      <c r="L22" s="15"/>
      <c r="M22" s="15"/>
      <c r="N22" s="15"/>
      <c r="O22" s="15"/>
      <c r="P22" s="15"/>
      <c r="Q22" s="15"/>
      <c r="R22" s="15" t="str">
        <f t="shared" si="10"/>
        <v>WO</v>
      </c>
      <c r="S22" s="15"/>
      <c r="T22" s="15"/>
      <c r="U22" s="15"/>
      <c r="V22" s="15"/>
      <c r="W22" s="15"/>
      <c r="X22" s="15"/>
      <c r="Y22" s="15" t="str">
        <f t="shared" si="10"/>
        <v>WO</v>
      </c>
      <c r="Z22" s="15"/>
      <c r="AA22" s="15"/>
      <c r="AB22" s="15"/>
      <c r="AC22" s="15"/>
      <c r="AD22" s="15"/>
      <c r="AE22" s="15"/>
      <c r="AF22" s="15" t="str">
        <f t="shared" si="12"/>
        <v>WO</v>
      </c>
      <c r="AG22" s="15"/>
      <c r="AH22" s="15"/>
      <c r="AI22" s="15"/>
      <c r="AJ22" s="15"/>
      <c r="AK22" s="15"/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February</v>
      </c>
      <c r="AU22" s="29" t="str">
        <f t="shared" si="11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28</v>
      </c>
      <c r="BA22" s="30">
        <f>feb_repo[[#This Row],[Days]]-feb_repo[[#This Row],[Absent]]</f>
        <v>28</v>
      </c>
      <c r="BB22" s="31">
        <v>0</v>
      </c>
      <c r="BC22" s="32">
        <f>feb_repo[[#This Row],[Salary]]/feb_repo[[#This Row],[Days]]</f>
        <v>0</v>
      </c>
      <c r="BD22" s="30">
        <f>feb_repo[[#This Row],[Per Day Salary]]*feb_repo[[#This Row],[Absent]]</f>
        <v>0</v>
      </c>
      <c r="BE22" s="30">
        <f>feb_repo[[#This Row],[Salary]]-feb_repo[[#This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 t="str">
        <f t="shared" si="10"/>
        <v>WO</v>
      </c>
      <c r="L23" s="15"/>
      <c r="M23" s="15"/>
      <c r="N23" s="15"/>
      <c r="O23" s="15"/>
      <c r="P23" s="15"/>
      <c r="Q23" s="15"/>
      <c r="R23" s="15" t="str">
        <f t="shared" si="10"/>
        <v>WO</v>
      </c>
      <c r="S23" s="15"/>
      <c r="T23" s="15"/>
      <c r="U23" s="15"/>
      <c r="V23" s="15"/>
      <c r="W23" s="15"/>
      <c r="X23" s="15"/>
      <c r="Y23" s="15" t="str">
        <f t="shared" si="10"/>
        <v>WO</v>
      </c>
      <c r="Z23" s="15"/>
      <c r="AA23" s="15"/>
      <c r="AB23" s="15"/>
      <c r="AC23" s="15"/>
      <c r="AD23" s="15"/>
      <c r="AE23" s="15"/>
      <c r="AF23" s="15" t="str">
        <f t="shared" si="12"/>
        <v>WO</v>
      </c>
      <c r="AG23" s="15"/>
      <c r="AH23" s="15"/>
      <c r="AI23" s="15"/>
      <c r="AJ23" s="15"/>
      <c r="AK23" s="15"/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February</v>
      </c>
      <c r="AU23" s="29" t="str">
        <f t="shared" si="11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28</v>
      </c>
      <c r="BA23" s="30">
        <f>feb_repo[[#This Row],[Days]]-feb_repo[[#This Row],[Absent]]</f>
        <v>28</v>
      </c>
      <c r="BB23" s="31">
        <v>0</v>
      </c>
      <c r="BC23" s="32">
        <f>feb_repo[[#This Row],[Salary]]/feb_repo[[#This Row],[Days]]</f>
        <v>0</v>
      </c>
      <c r="BD23" s="30">
        <f>feb_repo[[#This Row],[Per Day Salary]]*feb_repo[[#This Row],[Absent]]</f>
        <v>0</v>
      </c>
      <c r="BE23" s="30">
        <f>feb_repo[[#This Row],[Salary]]-feb_repo[[#This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 t="str">
        <f t="shared" si="10"/>
        <v>WO</v>
      </c>
      <c r="L24" s="15"/>
      <c r="M24" s="15"/>
      <c r="N24" s="15"/>
      <c r="O24" s="15"/>
      <c r="P24" s="15"/>
      <c r="Q24" s="15"/>
      <c r="R24" s="15" t="str">
        <f t="shared" si="10"/>
        <v>WO</v>
      </c>
      <c r="S24" s="15"/>
      <c r="T24" s="15"/>
      <c r="U24" s="15"/>
      <c r="V24" s="15"/>
      <c r="W24" s="15"/>
      <c r="X24" s="15"/>
      <c r="Y24" s="15" t="str">
        <f t="shared" si="10"/>
        <v>WO</v>
      </c>
      <c r="Z24" s="15"/>
      <c r="AA24" s="15"/>
      <c r="AB24" s="15"/>
      <c r="AC24" s="15"/>
      <c r="AD24" s="15"/>
      <c r="AE24" s="15"/>
      <c r="AF24" s="15" t="str">
        <f t="shared" si="12"/>
        <v>WO</v>
      </c>
      <c r="AG24" s="15"/>
      <c r="AH24" s="15"/>
      <c r="AI24" s="15"/>
      <c r="AJ24" s="15"/>
      <c r="AK24" s="15"/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February</v>
      </c>
      <c r="AU24" s="29" t="str">
        <f t="shared" si="11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28</v>
      </c>
      <c r="BA24" s="30">
        <f>feb_repo[[#This Row],[Days]]-feb_repo[[#This Row],[Absent]]</f>
        <v>28</v>
      </c>
      <c r="BB24" s="31">
        <v>0</v>
      </c>
      <c r="BC24" s="32">
        <f>feb_repo[[#This Row],[Salary]]/feb_repo[[#This Row],[Days]]</f>
        <v>0</v>
      </c>
      <c r="BD24" s="30">
        <f>feb_repo[[#This Row],[Per Day Salary]]*feb_repo[[#This Row],[Absent]]</f>
        <v>0</v>
      </c>
      <c r="BE24" s="30">
        <f>feb_repo[[#This Row],[Salary]]-feb_repo[[#This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 t="str">
        <f t="shared" si="10"/>
        <v>WO</v>
      </c>
      <c r="L25" s="15"/>
      <c r="M25" s="15"/>
      <c r="N25" s="15"/>
      <c r="O25" s="15"/>
      <c r="P25" s="15"/>
      <c r="Q25" s="15"/>
      <c r="R25" s="15" t="str">
        <f t="shared" si="10"/>
        <v>WO</v>
      </c>
      <c r="S25" s="15"/>
      <c r="T25" s="15"/>
      <c r="U25" s="15"/>
      <c r="V25" s="15"/>
      <c r="W25" s="15"/>
      <c r="X25" s="15"/>
      <c r="Y25" s="15" t="str">
        <f t="shared" si="10"/>
        <v>WO</v>
      </c>
      <c r="Z25" s="15"/>
      <c r="AA25" s="15"/>
      <c r="AB25" s="15"/>
      <c r="AC25" s="15"/>
      <c r="AD25" s="15"/>
      <c r="AE25" s="15"/>
      <c r="AF25" s="15" t="str">
        <f t="shared" si="12"/>
        <v>WO</v>
      </c>
      <c r="AG25" s="15"/>
      <c r="AH25" s="15"/>
      <c r="AI25" s="15"/>
      <c r="AJ25" s="15"/>
      <c r="AK25" s="15"/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February</v>
      </c>
      <c r="AU25" s="29" t="str">
        <f t="shared" si="11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28</v>
      </c>
      <c r="BA25" s="30">
        <f>feb_repo[[#This Row],[Days]]-feb_repo[[#This Row],[Absent]]</f>
        <v>28</v>
      </c>
      <c r="BB25" s="31">
        <v>0</v>
      </c>
      <c r="BC25" s="32">
        <f>feb_repo[[#This Row],[Salary]]/feb_repo[[#This Row],[Days]]</f>
        <v>0</v>
      </c>
      <c r="BD25" s="30">
        <f>feb_repo[[#This Row],[Per Day Salary]]*feb_repo[[#This Row],[Absent]]</f>
        <v>0</v>
      </c>
      <c r="BE25" s="30">
        <f>feb_repo[[#This Row],[Salary]]-feb_repo[[#This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 t="str">
        <f t="shared" si="10"/>
        <v>WO</v>
      </c>
      <c r="L26" s="15"/>
      <c r="M26" s="15"/>
      <c r="N26" s="15"/>
      <c r="O26" s="15"/>
      <c r="P26" s="15"/>
      <c r="Q26" s="15"/>
      <c r="R26" s="15" t="str">
        <f t="shared" si="10"/>
        <v>WO</v>
      </c>
      <c r="S26" s="15"/>
      <c r="T26" s="15"/>
      <c r="U26" s="15"/>
      <c r="V26" s="15"/>
      <c r="W26" s="15"/>
      <c r="X26" s="15"/>
      <c r="Y26" s="15" t="str">
        <f t="shared" si="10"/>
        <v>WO</v>
      </c>
      <c r="Z26" s="15"/>
      <c r="AA26" s="15"/>
      <c r="AB26" s="15"/>
      <c r="AC26" s="15"/>
      <c r="AD26" s="15"/>
      <c r="AE26" s="15"/>
      <c r="AF26" s="15" t="str">
        <f t="shared" si="12"/>
        <v>WO</v>
      </c>
      <c r="AG26" s="15"/>
      <c r="AH26" s="15"/>
      <c r="AI26" s="15"/>
      <c r="AJ26" s="15"/>
      <c r="AK26" s="15"/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February</v>
      </c>
      <c r="AU26" s="29" t="str">
        <f t="shared" si="11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28</v>
      </c>
      <c r="BA26" s="30">
        <f>feb_repo[[#This Row],[Days]]-feb_repo[[#This Row],[Absent]]</f>
        <v>28</v>
      </c>
      <c r="BB26" s="31">
        <v>0</v>
      </c>
      <c r="BC26" s="32">
        <f>feb_repo[[#This Row],[Salary]]/feb_repo[[#This Row],[Days]]</f>
        <v>0</v>
      </c>
      <c r="BD26" s="30">
        <f>feb_repo[[#This Row],[Per Day Salary]]*feb_repo[[#This Row],[Absent]]</f>
        <v>0</v>
      </c>
      <c r="BE26" s="30">
        <f>feb_repo[[#This Row],[Salary]]-feb_repo[[#This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 t="str">
        <f t="shared" si="10"/>
        <v>WO</v>
      </c>
      <c r="L27" s="15"/>
      <c r="M27" s="15"/>
      <c r="N27" s="15"/>
      <c r="O27" s="15"/>
      <c r="P27" s="15"/>
      <c r="Q27" s="15"/>
      <c r="R27" s="15" t="str">
        <f t="shared" si="10"/>
        <v>WO</v>
      </c>
      <c r="S27" s="15"/>
      <c r="T27" s="15"/>
      <c r="U27" s="15"/>
      <c r="V27" s="15"/>
      <c r="W27" s="15"/>
      <c r="X27" s="15"/>
      <c r="Y27" s="15" t="str">
        <f t="shared" si="10"/>
        <v>WO</v>
      </c>
      <c r="Z27" s="15"/>
      <c r="AA27" s="15"/>
      <c r="AB27" s="15"/>
      <c r="AC27" s="15"/>
      <c r="AD27" s="15"/>
      <c r="AE27" s="15"/>
      <c r="AF27" s="15" t="str">
        <f t="shared" si="12"/>
        <v>WO</v>
      </c>
      <c r="AG27" s="15"/>
      <c r="AH27" s="15"/>
      <c r="AI27" s="15"/>
      <c r="AJ27" s="15"/>
      <c r="AK27" s="15"/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February</v>
      </c>
      <c r="AU27" s="29" t="str">
        <f t="shared" si="11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28</v>
      </c>
      <c r="BA27" s="30">
        <f>feb_repo[[#This Row],[Days]]-feb_repo[[#This Row],[Absent]]</f>
        <v>28</v>
      </c>
      <c r="BB27" s="31">
        <v>0</v>
      </c>
      <c r="BC27" s="32">
        <f>feb_repo[[#This Row],[Salary]]/feb_repo[[#This Row],[Days]]</f>
        <v>0</v>
      </c>
      <c r="BD27" s="30">
        <f>feb_repo[[#This Row],[Per Day Salary]]*feb_repo[[#This Row],[Absent]]</f>
        <v>0</v>
      </c>
      <c r="BE27" s="30">
        <f>feb_repo[[#This Row],[Salary]]-feb_repo[[#This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 t="str">
        <f t="shared" si="10"/>
        <v>WO</v>
      </c>
      <c r="L28" s="15"/>
      <c r="M28" s="15"/>
      <c r="N28" s="15"/>
      <c r="O28" s="15"/>
      <c r="P28" s="15"/>
      <c r="Q28" s="15"/>
      <c r="R28" s="15" t="str">
        <f t="shared" si="10"/>
        <v>WO</v>
      </c>
      <c r="S28" s="15"/>
      <c r="T28" s="15"/>
      <c r="U28" s="15"/>
      <c r="V28" s="15"/>
      <c r="W28" s="15"/>
      <c r="X28" s="15"/>
      <c r="Y28" s="15" t="str">
        <f t="shared" si="10"/>
        <v>WO</v>
      </c>
      <c r="Z28" s="15"/>
      <c r="AA28" s="15"/>
      <c r="AB28" s="15"/>
      <c r="AC28" s="15"/>
      <c r="AD28" s="15"/>
      <c r="AE28" s="15"/>
      <c r="AF28" s="15" t="str">
        <f t="shared" si="12"/>
        <v>WO</v>
      </c>
      <c r="AG28" s="15"/>
      <c r="AH28" s="15"/>
      <c r="AI28" s="15"/>
      <c r="AJ28" s="15"/>
      <c r="AK28" s="15"/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February</v>
      </c>
      <c r="AU28" s="29" t="str">
        <f t="shared" si="11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28</v>
      </c>
      <c r="BA28" s="30">
        <f>feb_repo[[#This Row],[Days]]-feb_repo[[#This Row],[Absent]]</f>
        <v>28</v>
      </c>
      <c r="BB28" s="31">
        <v>0</v>
      </c>
      <c r="BC28" s="32">
        <f>feb_repo[[#This Row],[Salary]]/feb_repo[[#This Row],[Days]]</f>
        <v>0</v>
      </c>
      <c r="BD28" s="30">
        <f>feb_repo[[#This Row],[Per Day Salary]]*feb_repo[[#This Row],[Absent]]</f>
        <v>0</v>
      </c>
      <c r="BE28" s="30">
        <f>feb_repo[[#This Row],[Salary]]-feb_repo[[#This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 t="str">
        <f t="shared" si="10"/>
        <v>WO</v>
      </c>
      <c r="L29" s="15"/>
      <c r="M29" s="15"/>
      <c r="N29" s="15"/>
      <c r="O29" s="15"/>
      <c r="P29" s="15"/>
      <c r="Q29" s="15"/>
      <c r="R29" s="15" t="str">
        <f t="shared" si="10"/>
        <v>WO</v>
      </c>
      <c r="S29" s="15"/>
      <c r="T29" s="15"/>
      <c r="U29" s="15"/>
      <c r="V29" s="15"/>
      <c r="W29" s="15"/>
      <c r="X29" s="15"/>
      <c r="Y29" s="15" t="str">
        <f t="shared" si="10"/>
        <v>WO</v>
      </c>
      <c r="Z29" s="15"/>
      <c r="AA29" s="15"/>
      <c r="AB29" s="15"/>
      <c r="AC29" s="15"/>
      <c r="AD29" s="15"/>
      <c r="AE29" s="15"/>
      <c r="AF29" s="15" t="str">
        <f t="shared" si="12"/>
        <v>WO</v>
      </c>
      <c r="AG29" s="15"/>
      <c r="AH29" s="15"/>
      <c r="AI29" s="15"/>
      <c r="AJ29" s="15"/>
      <c r="AK29" s="15"/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February</v>
      </c>
      <c r="AU29" s="29" t="str">
        <f t="shared" si="11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28</v>
      </c>
      <c r="BA29" s="30">
        <f>feb_repo[[#This Row],[Days]]-feb_repo[[#This Row],[Absent]]</f>
        <v>28</v>
      </c>
      <c r="BB29" s="31">
        <v>0</v>
      </c>
      <c r="BC29" s="32">
        <f>feb_repo[[#This Row],[Salary]]/feb_repo[[#This Row],[Days]]</f>
        <v>0</v>
      </c>
      <c r="BD29" s="30">
        <f>feb_repo[[#This Row],[Per Day Salary]]*feb_repo[[#This Row],[Absent]]</f>
        <v>0</v>
      </c>
      <c r="BE29" s="30">
        <f>feb_repo[[#This Row],[Salary]]-feb_repo[[#This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 t="str">
        <f t="shared" si="10"/>
        <v>WO</v>
      </c>
      <c r="L30" s="15"/>
      <c r="M30" s="15"/>
      <c r="N30" s="15"/>
      <c r="O30" s="15"/>
      <c r="P30" s="15"/>
      <c r="Q30" s="15"/>
      <c r="R30" s="15" t="str">
        <f t="shared" si="10"/>
        <v>WO</v>
      </c>
      <c r="S30" s="15"/>
      <c r="T30" s="15"/>
      <c r="U30" s="15"/>
      <c r="V30" s="15"/>
      <c r="W30" s="15"/>
      <c r="X30" s="15"/>
      <c r="Y30" s="15" t="str">
        <f t="shared" si="10"/>
        <v>WO</v>
      </c>
      <c r="Z30" s="15"/>
      <c r="AA30" s="15"/>
      <c r="AB30" s="15"/>
      <c r="AC30" s="15"/>
      <c r="AD30" s="15"/>
      <c r="AE30" s="15"/>
      <c r="AF30" s="15" t="str">
        <f t="shared" si="12"/>
        <v>WO</v>
      </c>
      <c r="AG30" s="15"/>
      <c r="AH30" s="15"/>
      <c r="AI30" s="15"/>
      <c r="AJ30" s="15"/>
      <c r="AK30" s="15"/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February</v>
      </c>
      <c r="AU30" s="29" t="str">
        <f t="shared" si="11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28</v>
      </c>
      <c r="BA30" s="30">
        <f>feb_repo[[#This Row],[Days]]-feb_repo[[#This Row],[Absent]]</f>
        <v>28</v>
      </c>
      <c r="BB30" s="31">
        <v>0</v>
      </c>
      <c r="BC30" s="32">
        <f>feb_repo[[#This Row],[Salary]]/feb_repo[[#This Row],[Days]]</f>
        <v>0</v>
      </c>
      <c r="BD30" s="30">
        <f>feb_repo[[#This Row],[Per Day Salary]]*feb_repo[[#This Row],[Absent]]</f>
        <v>0</v>
      </c>
      <c r="BE30" s="30">
        <f>feb_repo[[#This Row],[Salary]]-feb_repo[[#This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 t="str">
        <f t="shared" si="10"/>
        <v>WO</v>
      </c>
      <c r="L31" s="15"/>
      <c r="M31" s="15"/>
      <c r="N31" s="15"/>
      <c r="O31" s="15"/>
      <c r="P31" s="15"/>
      <c r="Q31" s="15"/>
      <c r="R31" s="15" t="str">
        <f t="shared" si="10"/>
        <v>WO</v>
      </c>
      <c r="S31" s="15"/>
      <c r="T31" s="15"/>
      <c r="U31" s="15"/>
      <c r="V31" s="15"/>
      <c r="W31" s="15"/>
      <c r="X31" s="15"/>
      <c r="Y31" s="15" t="str">
        <f t="shared" si="10"/>
        <v>WO</v>
      </c>
      <c r="Z31" s="15"/>
      <c r="AA31" s="15"/>
      <c r="AB31" s="15"/>
      <c r="AC31" s="15"/>
      <c r="AD31" s="15"/>
      <c r="AE31" s="15"/>
      <c r="AF31" s="15" t="str">
        <f t="shared" si="12"/>
        <v>WO</v>
      </c>
      <c r="AG31" s="15"/>
      <c r="AH31" s="15"/>
      <c r="AI31" s="15"/>
      <c r="AJ31" s="15"/>
      <c r="AK31" s="15"/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February</v>
      </c>
      <c r="AU31" s="29" t="str">
        <f t="shared" si="11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28</v>
      </c>
      <c r="BA31" s="30">
        <f>feb_repo[[#This Row],[Days]]-feb_repo[[#This Row],[Absent]]</f>
        <v>28</v>
      </c>
      <c r="BB31" s="31">
        <v>0</v>
      </c>
      <c r="BC31" s="32">
        <f>feb_repo[[#This Row],[Salary]]/feb_repo[[#This Row],[Days]]</f>
        <v>0</v>
      </c>
      <c r="BD31" s="30">
        <f>feb_repo[[#This Row],[Per Day Salary]]*feb_repo[[#This Row],[Absent]]</f>
        <v>0</v>
      </c>
      <c r="BE31" s="30">
        <f>feb_repo[[#This Row],[Salary]]-feb_repo[[#This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 t="str">
        <f t="shared" si="10"/>
        <v>WO</v>
      </c>
      <c r="L32" s="15"/>
      <c r="M32" s="15"/>
      <c r="N32" s="15"/>
      <c r="O32" s="15"/>
      <c r="P32" s="15"/>
      <c r="Q32" s="15"/>
      <c r="R32" s="15" t="str">
        <f t="shared" si="10"/>
        <v>WO</v>
      </c>
      <c r="S32" s="15"/>
      <c r="T32" s="15"/>
      <c r="U32" s="15"/>
      <c r="V32" s="15"/>
      <c r="W32" s="15"/>
      <c r="X32" s="15"/>
      <c r="Y32" s="15" t="str">
        <f t="shared" si="10"/>
        <v>WO</v>
      </c>
      <c r="Z32" s="15"/>
      <c r="AA32" s="15"/>
      <c r="AB32" s="15"/>
      <c r="AC32" s="15"/>
      <c r="AD32" s="15"/>
      <c r="AE32" s="15"/>
      <c r="AF32" s="15" t="str">
        <f t="shared" si="12"/>
        <v>WO</v>
      </c>
      <c r="AG32" s="15"/>
      <c r="AH32" s="15"/>
      <c r="AI32" s="15"/>
      <c r="AJ32" s="15"/>
      <c r="AK32" s="15"/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February</v>
      </c>
      <c r="AU32" s="29" t="str">
        <f t="shared" si="11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28</v>
      </c>
      <c r="BA32" s="30">
        <f>feb_repo[[#This Row],[Days]]-feb_repo[[#This Row],[Absent]]</f>
        <v>28</v>
      </c>
      <c r="BB32" s="31">
        <v>0</v>
      </c>
      <c r="BC32" s="32">
        <f>feb_repo[[#This Row],[Salary]]/feb_repo[[#This Row],[Days]]</f>
        <v>0</v>
      </c>
      <c r="BD32" s="30">
        <f>feb_repo[[#This Row],[Per Day Salary]]*feb_repo[[#This Row],[Absent]]</f>
        <v>0</v>
      </c>
      <c r="BE32" s="30">
        <f>feb_repo[[#This Row],[Salary]]-feb_repo[[#This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 t="str">
        <f t="shared" si="10"/>
        <v>WO</v>
      </c>
      <c r="L33" s="15"/>
      <c r="M33" s="15"/>
      <c r="N33" s="15"/>
      <c r="O33" s="15"/>
      <c r="P33" s="15"/>
      <c r="Q33" s="15"/>
      <c r="R33" s="15" t="str">
        <f t="shared" ref="R33:AF38" si="13">IF(R$7="Sun","WO","")</f>
        <v>WO</v>
      </c>
      <c r="S33" s="15"/>
      <c r="T33" s="15"/>
      <c r="U33" s="15"/>
      <c r="V33" s="15"/>
      <c r="W33" s="15"/>
      <c r="X33" s="15"/>
      <c r="Y33" s="15" t="str">
        <f t="shared" si="13"/>
        <v>WO</v>
      </c>
      <c r="Z33" s="15"/>
      <c r="AA33" s="15"/>
      <c r="AB33" s="15"/>
      <c r="AC33" s="15"/>
      <c r="AD33" s="15"/>
      <c r="AE33" s="15"/>
      <c r="AF33" s="15" t="str">
        <f t="shared" si="13"/>
        <v>WO</v>
      </c>
      <c r="AG33" s="15"/>
      <c r="AH33" s="15"/>
      <c r="AI33" s="15"/>
      <c r="AJ33" s="15"/>
      <c r="AK33" s="15"/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February</v>
      </c>
      <c r="AU33" s="29" t="str">
        <f t="shared" si="11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28</v>
      </c>
      <c r="BA33" s="30">
        <f>feb_repo[[#This Row],[Days]]-feb_repo[[#This Row],[Absent]]</f>
        <v>28</v>
      </c>
      <c r="BB33" s="31">
        <v>0</v>
      </c>
      <c r="BC33" s="32">
        <f>feb_repo[[#This Row],[Salary]]/feb_repo[[#This Row],[Days]]</f>
        <v>0</v>
      </c>
      <c r="BD33" s="30">
        <f>feb_repo[[#This Row],[Per Day Salary]]*feb_repo[[#This Row],[Absent]]</f>
        <v>0</v>
      </c>
      <c r="BE33" s="30">
        <f>feb_repo[[#This Row],[Salary]]-feb_repo[[#This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 t="str">
        <f t="shared" ref="K34:Y38" si="14">IF(K$7="Sun","WO","")</f>
        <v>WO</v>
      </c>
      <c r="L34" s="15"/>
      <c r="M34" s="15"/>
      <c r="N34" s="15"/>
      <c r="O34" s="15"/>
      <c r="P34" s="15"/>
      <c r="Q34" s="15"/>
      <c r="R34" s="15" t="str">
        <f t="shared" si="14"/>
        <v>WO</v>
      </c>
      <c r="S34" s="15"/>
      <c r="T34" s="15"/>
      <c r="U34" s="15"/>
      <c r="V34" s="15"/>
      <c r="W34" s="15"/>
      <c r="X34" s="15"/>
      <c r="Y34" s="15" t="str">
        <f t="shared" si="14"/>
        <v>WO</v>
      </c>
      <c r="Z34" s="15"/>
      <c r="AA34" s="15"/>
      <c r="AB34" s="15"/>
      <c r="AC34" s="15"/>
      <c r="AD34" s="15"/>
      <c r="AE34" s="15"/>
      <c r="AF34" s="15" t="str">
        <f t="shared" si="13"/>
        <v>WO</v>
      </c>
      <c r="AG34" s="15"/>
      <c r="AH34" s="15"/>
      <c r="AI34" s="15"/>
      <c r="AJ34" s="15"/>
      <c r="AK34" s="15"/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February</v>
      </c>
      <c r="AU34" s="29" t="str">
        <f t="shared" si="11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28</v>
      </c>
      <c r="BA34" s="30">
        <f>feb_repo[[#This Row],[Days]]-feb_repo[[#This Row],[Absent]]</f>
        <v>28</v>
      </c>
      <c r="BB34" s="31">
        <v>0</v>
      </c>
      <c r="BC34" s="32">
        <f>feb_repo[[#This Row],[Salary]]/feb_repo[[#This Row],[Days]]</f>
        <v>0</v>
      </c>
      <c r="BD34" s="30">
        <f>feb_repo[[#This Row],[Per Day Salary]]*feb_repo[[#This Row],[Absent]]</f>
        <v>0</v>
      </c>
      <c r="BE34" s="30">
        <f>feb_repo[[#This Row],[Salary]]-feb_repo[[#This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 t="str">
        <f t="shared" si="14"/>
        <v>WO</v>
      </c>
      <c r="L35" s="15"/>
      <c r="M35" s="15"/>
      <c r="N35" s="15"/>
      <c r="O35" s="15"/>
      <c r="P35" s="15"/>
      <c r="Q35" s="15"/>
      <c r="R35" s="15" t="str">
        <f t="shared" si="14"/>
        <v>WO</v>
      </c>
      <c r="S35" s="15"/>
      <c r="T35" s="15"/>
      <c r="U35" s="15"/>
      <c r="V35" s="15"/>
      <c r="W35" s="15"/>
      <c r="X35" s="15"/>
      <c r="Y35" s="15" t="str">
        <f t="shared" si="14"/>
        <v>WO</v>
      </c>
      <c r="Z35" s="15"/>
      <c r="AA35" s="15"/>
      <c r="AB35" s="15"/>
      <c r="AC35" s="15"/>
      <c r="AD35" s="15"/>
      <c r="AE35" s="15"/>
      <c r="AF35" s="15" t="str">
        <f t="shared" si="13"/>
        <v>WO</v>
      </c>
      <c r="AG35" s="15"/>
      <c r="AH35" s="15"/>
      <c r="AI35" s="15"/>
      <c r="AJ35" s="15"/>
      <c r="AK35" s="15"/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February</v>
      </c>
      <c r="AU35" s="29" t="str">
        <f t="shared" si="11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28</v>
      </c>
      <c r="BA35" s="30">
        <f>feb_repo[[#This Row],[Days]]-feb_repo[[#This Row],[Absent]]</f>
        <v>28</v>
      </c>
      <c r="BB35" s="31">
        <v>0</v>
      </c>
      <c r="BC35" s="32">
        <f>feb_repo[[#This Row],[Salary]]/feb_repo[[#This Row],[Days]]</f>
        <v>0</v>
      </c>
      <c r="BD35" s="30">
        <f>feb_repo[[#This Row],[Per Day Salary]]*feb_repo[[#This Row],[Absent]]</f>
        <v>0</v>
      </c>
      <c r="BE35" s="30">
        <f>feb_repo[[#This Row],[Salary]]-feb_repo[[#This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 t="str">
        <f t="shared" si="14"/>
        <v>WO</v>
      </c>
      <c r="L36" s="15"/>
      <c r="M36" s="15"/>
      <c r="N36" s="15"/>
      <c r="O36" s="15"/>
      <c r="P36" s="15"/>
      <c r="Q36" s="15"/>
      <c r="R36" s="15" t="str">
        <f t="shared" si="14"/>
        <v>WO</v>
      </c>
      <c r="S36" s="15"/>
      <c r="T36" s="15"/>
      <c r="U36" s="15"/>
      <c r="V36" s="15"/>
      <c r="W36" s="15"/>
      <c r="X36" s="15"/>
      <c r="Y36" s="15" t="str">
        <f t="shared" si="14"/>
        <v>WO</v>
      </c>
      <c r="Z36" s="15"/>
      <c r="AA36" s="15"/>
      <c r="AB36" s="15"/>
      <c r="AC36" s="15"/>
      <c r="AD36" s="15"/>
      <c r="AE36" s="15"/>
      <c r="AF36" s="15" t="str">
        <f t="shared" si="13"/>
        <v>WO</v>
      </c>
      <c r="AG36" s="15"/>
      <c r="AH36" s="15"/>
      <c r="AI36" s="15"/>
      <c r="AJ36" s="15"/>
      <c r="AK36" s="15"/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February</v>
      </c>
      <c r="AU36" s="29" t="str">
        <f t="shared" si="11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28</v>
      </c>
      <c r="BA36" s="30">
        <f>feb_repo[[#This Row],[Days]]-feb_repo[[#This Row],[Absent]]</f>
        <v>28</v>
      </c>
      <c r="BB36" s="31">
        <v>0</v>
      </c>
      <c r="BC36" s="32">
        <f>feb_repo[[#This Row],[Salary]]/feb_repo[[#This Row],[Days]]</f>
        <v>0</v>
      </c>
      <c r="BD36" s="30">
        <f>feb_repo[[#This Row],[Per Day Salary]]*feb_repo[[#This Row],[Absent]]</f>
        <v>0</v>
      </c>
      <c r="BE36" s="30">
        <f>feb_repo[[#This Row],[Salary]]-feb_repo[[#This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 t="str">
        <f t="shared" si="14"/>
        <v>WO</v>
      </c>
      <c r="L37" s="15"/>
      <c r="M37" s="15"/>
      <c r="N37" s="15"/>
      <c r="O37" s="15"/>
      <c r="P37" s="15"/>
      <c r="Q37" s="15"/>
      <c r="R37" s="15" t="str">
        <f t="shared" si="14"/>
        <v>WO</v>
      </c>
      <c r="S37" s="15"/>
      <c r="T37" s="15"/>
      <c r="U37" s="15"/>
      <c r="V37" s="15"/>
      <c r="W37" s="15"/>
      <c r="X37" s="15"/>
      <c r="Y37" s="15" t="str">
        <f t="shared" si="14"/>
        <v>WO</v>
      </c>
      <c r="Z37" s="15"/>
      <c r="AA37" s="15"/>
      <c r="AB37" s="15"/>
      <c r="AC37" s="15"/>
      <c r="AD37" s="15"/>
      <c r="AE37" s="15"/>
      <c r="AF37" s="15" t="str">
        <f t="shared" si="13"/>
        <v>WO</v>
      </c>
      <c r="AG37" s="15"/>
      <c r="AH37" s="15"/>
      <c r="AI37" s="15"/>
      <c r="AJ37" s="15"/>
      <c r="AK37" s="15"/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February</v>
      </c>
      <c r="AU37" s="29" t="str">
        <f t="shared" si="11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28</v>
      </c>
      <c r="BA37" s="30">
        <f>feb_repo[[#This Row],[Days]]-feb_repo[[#This Row],[Absent]]</f>
        <v>28</v>
      </c>
      <c r="BB37" s="31">
        <v>0</v>
      </c>
      <c r="BC37" s="32">
        <f>feb_repo[[#This Row],[Salary]]/feb_repo[[#This Row],[Days]]</f>
        <v>0</v>
      </c>
      <c r="BD37" s="30">
        <f>feb_repo[[#This Row],[Per Day Salary]]*feb_repo[[#This Row],[Absent]]</f>
        <v>0</v>
      </c>
      <c r="BE37" s="30">
        <f>feb_repo[[#This Row],[Salary]]-feb_repo[[#This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 t="str">
        <f t="shared" si="14"/>
        <v>WO</v>
      </c>
      <c r="L38" s="21"/>
      <c r="M38" s="21"/>
      <c r="N38" s="21"/>
      <c r="O38" s="21"/>
      <c r="P38" s="21"/>
      <c r="Q38" s="21"/>
      <c r="R38" s="21" t="str">
        <f t="shared" si="14"/>
        <v>WO</v>
      </c>
      <c r="S38" s="21"/>
      <c r="T38" s="21"/>
      <c r="U38" s="21"/>
      <c r="V38" s="21"/>
      <c r="W38" s="21"/>
      <c r="X38" s="21"/>
      <c r="Y38" s="21" t="str">
        <f t="shared" si="14"/>
        <v>WO</v>
      </c>
      <c r="Z38" s="21"/>
      <c r="AA38" s="21"/>
      <c r="AB38" s="21"/>
      <c r="AC38" s="21"/>
      <c r="AD38" s="21"/>
      <c r="AE38" s="21"/>
      <c r="AF38" s="21" t="str">
        <f t="shared" si="13"/>
        <v>WO</v>
      </c>
      <c r="AG38" s="21"/>
      <c r="AH38" s="21"/>
      <c r="AI38" s="21"/>
      <c r="AJ38" s="21"/>
      <c r="AK38" s="21"/>
      <c r="AL38" s="21"/>
      <c r="AM38" s="15"/>
      <c r="AN38" s="15"/>
      <c r="AO38" s="16"/>
      <c r="AP38" s="40"/>
      <c r="AQ38" s="38"/>
      <c r="AR38" s="36">
        <v>30</v>
      </c>
      <c r="AS38" s="37" t="s">
        <v>61</v>
      </c>
      <c r="AT38" s="28" t="str">
        <f t="shared" si="4"/>
        <v>February</v>
      </c>
      <c r="AU38" s="29" t="str">
        <f t="shared" si="11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28</v>
      </c>
      <c r="BA38" s="30">
        <f>feb_repo[[#This Row],[Days]]-feb_repo[[#This Row],[Absent]]</f>
        <v>28</v>
      </c>
      <c r="BB38" s="31">
        <v>0</v>
      </c>
      <c r="BC38" s="32">
        <f>feb_repo[[#This Row],[Salary]]/feb_repo[[#This Row],[Days]]</f>
        <v>0</v>
      </c>
      <c r="BD38" s="30">
        <f>feb_repo[[#This Row],[Per Day Salary]]*feb_repo[[#This Row],[Absent]]</f>
        <v>0</v>
      </c>
      <c r="BE38" s="30">
        <f>feb_repo[[#This Row],[Salary]]-feb_repo[[#This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340" priority="12" operator="containsText" text="WO">
      <formula>NOT(ISERROR(SEARCH("WO",H5)))</formula>
    </cfRule>
  </conditionalFormatting>
  <conditionalFormatting sqref="K9">
    <cfRule type="containsText" dxfId="339" priority="5" operator="containsText" text="L">
      <formula>NOT(ISERROR(SEARCH("L",K9)))</formula>
    </cfRule>
    <cfRule type="containsText" dxfId="338" priority="11" operator="containsText" text="WO">
      <formula>NOT(ISERROR(SEARCH("WO",K9)))</formula>
    </cfRule>
  </conditionalFormatting>
  <conditionalFormatting sqref="A4:XFD4 A5:L5 R5:XFD5 BH1:XFD3 A1:AQ1 A2:AP3 A6:XFD8 A39:XFD1048576 A9:H12 BC9:XFD38 J9:BA12 A13:BA38">
    <cfRule type="containsText" dxfId="337" priority="9" operator="containsText" text="WO">
      <formula>NOT(ISERROR(SEARCH("WO",A1)))</formula>
    </cfRule>
    <cfRule type="containsText" dxfId="336" priority="10" operator="containsText" text="WO">
      <formula>NOT(ISERROR(SEARCH("WO",A1)))</formula>
    </cfRule>
  </conditionalFormatting>
  <conditionalFormatting sqref="K9:AO38">
    <cfRule type="containsText" dxfId="335" priority="6" operator="containsText" text="L">
      <formula>NOT(ISERROR(SEARCH("L",K9)))</formula>
    </cfRule>
    <cfRule type="containsText" dxfId="334" priority="7" operator="containsText" text="A">
      <formula>NOT(ISERROR(SEARCH("A",K9)))</formula>
    </cfRule>
    <cfRule type="containsText" dxfId="333" priority="8" operator="containsText" text="P">
      <formula>NOT(ISERROR(SEARCH("P",K9)))</formula>
    </cfRule>
  </conditionalFormatting>
  <conditionalFormatting sqref="I9:I12">
    <cfRule type="containsText" dxfId="332" priority="3" operator="containsText" text="WO">
      <formula>NOT(ISERROR(SEARCH("WO",I9)))</formula>
    </cfRule>
    <cfRule type="containsText" dxfId="331" priority="4" operator="containsText" text="WO">
      <formula>NOT(ISERROR(SEARCH("WO",I9)))</formula>
    </cfRule>
  </conditionalFormatting>
  <conditionalFormatting sqref="BB9:BB38">
    <cfRule type="containsText" dxfId="330" priority="1" operator="containsText" text="WO">
      <formula>NOT(ISERROR(SEARCH("WO",BB9)))</formula>
    </cfRule>
    <cfRule type="containsText" dxfId="329" priority="2" operator="containsText" text="WO">
      <formula>NOT(ISERROR(SEARCH("WO",BB9)))</formula>
    </cfRule>
  </conditionalFormatting>
  <dataValidations count="1">
    <dataValidation type="list" allowBlank="1" showInputMessage="1" showErrorMessage="1" sqref="Z9:AE38 L9:Q38 S9:X38 AG9:AL38" xr:uid="{00000000-0002-0000-01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100-000001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FEB!AV9:AY9</xm:f>
              <xm:sqref>BF9</xm:sqref>
            </x14:sparkline>
            <x14:sparkline>
              <xm:f>FEB!AV10:AY10</xm:f>
              <xm:sqref>BF10</xm:sqref>
            </x14:sparkline>
            <x14:sparkline>
              <xm:f>FEB!AV11:AY11</xm:f>
              <xm:sqref>BF11</xm:sqref>
            </x14:sparkline>
            <x14:sparkline>
              <xm:f>FEB!AV12:AY12</xm:f>
              <xm:sqref>BF12</xm:sqref>
            </x14:sparkline>
            <x14:sparkline>
              <xm:f>FEB!AV13:AY13</xm:f>
              <xm:sqref>BF13</xm:sqref>
            </x14:sparkline>
            <x14:sparkline>
              <xm:f>FEB!AV14:AY14</xm:f>
              <xm:sqref>BF14</xm:sqref>
            </x14:sparkline>
            <x14:sparkline>
              <xm:f>FEB!AV15:AY15</xm:f>
              <xm:sqref>BF15</xm:sqref>
            </x14:sparkline>
            <x14:sparkline>
              <xm:f>FEB!AV16:AY16</xm:f>
              <xm:sqref>BF16</xm:sqref>
            </x14:sparkline>
            <x14:sparkline>
              <xm:f>FEB!AV17:AY17</xm:f>
              <xm:sqref>BF17</xm:sqref>
            </x14:sparkline>
            <x14:sparkline>
              <xm:f>FEB!AV18:AY18</xm:f>
              <xm:sqref>BF18</xm:sqref>
            </x14:sparkline>
            <x14:sparkline>
              <xm:f>FEB!AV19:AY19</xm:f>
              <xm:sqref>BF19</xm:sqref>
            </x14:sparkline>
            <x14:sparkline>
              <xm:f>FEB!AV20:AY20</xm:f>
              <xm:sqref>BF20</xm:sqref>
            </x14:sparkline>
            <x14:sparkline>
              <xm:f>FEB!AV21:AY21</xm:f>
              <xm:sqref>BF21</xm:sqref>
            </x14:sparkline>
            <x14:sparkline>
              <xm:f>FEB!AV22:AY22</xm:f>
              <xm:sqref>BF22</xm:sqref>
            </x14:sparkline>
            <x14:sparkline>
              <xm:f>FEB!AV23:AY23</xm:f>
              <xm:sqref>BF23</xm:sqref>
            </x14:sparkline>
            <x14:sparkline>
              <xm:f>FEB!AV24:AY24</xm:f>
              <xm:sqref>BF24</xm:sqref>
            </x14:sparkline>
            <x14:sparkline>
              <xm:f>FEB!AV25:AY25</xm:f>
              <xm:sqref>BF25</xm:sqref>
            </x14:sparkline>
            <x14:sparkline>
              <xm:f>FEB!AV26:AY26</xm:f>
              <xm:sqref>BF26</xm:sqref>
            </x14:sparkline>
            <x14:sparkline>
              <xm:f>FEB!AV27:AY27</xm:f>
              <xm:sqref>BF27</xm:sqref>
            </x14:sparkline>
            <x14:sparkline>
              <xm:f>FEB!AV28:AY28</xm:f>
              <xm:sqref>BF28</xm:sqref>
            </x14:sparkline>
            <x14:sparkline>
              <xm:f>FEB!AV29:AY29</xm:f>
              <xm:sqref>BF29</xm:sqref>
            </x14:sparkline>
            <x14:sparkline>
              <xm:f>FEB!AV30:AY30</xm:f>
              <xm:sqref>BF30</xm:sqref>
            </x14:sparkline>
            <x14:sparkline>
              <xm:f>FEB!AV31:AY31</xm:f>
              <xm:sqref>BF31</xm:sqref>
            </x14:sparkline>
            <x14:sparkline>
              <xm:f>FEB!AV32:AY32</xm:f>
              <xm:sqref>BF32</xm:sqref>
            </x14:sparkline>
            <x14:sparkline>
              <xm:f>FEB!AV33:AY33</xm:f>
              <xm:sqref>BF33</xm:sqref>
            </x14:sparkline>
            <x14:sparkline>
              <xm:f>FEB!AV34:AY34</xm:f>
              <xm:sqref>BF34</xm:sqref>
            </x14:sparkline>
            <x14:sparkline>
              <xm:f>FEB!AV35:AY35</xm:f>
              <xm:sqref>BF35</xm:sqref>
            </x14:sparkline>
            <x14:sparkline>
              <xm:f>FEB!AV36:AY36</xm:f>
              <xm:sqref>BF36</xm:sqref>
            </x14:sparkline>
            <x14:sparkline>
              <xm:f>FEB!AV37:AY37</xm:f>
              <xm:sqref>BF37</xm:sqref>
            </x14:sparkline>
            <x14:sparkline>
              <xm:f>FEB!AV38:AY38</xm:f>
              <xm:sqref>BF38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Z163"/>
  <sheetViews>
    <sheetView topLeftCell="E2" zoomScaleNormal="10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46082</v>
      </c>
      <c r="I5" s="42">
        <f>(DATEDIF($H$5,$L$5,"D"))+1</f>
        <v>31</v>
      </c>
      <c r="J5" s="42" t="str">
        <f>TEXT(H5,"MMMM")</f>
        <v>March</v>
      </c>
      <c r="K5" s="42" t="s">
        <v>64</v>
      </c>
      <c r="L5" s="46">
        <f>EOMONTH(H5,0)</f>
        <v>46112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Sun</v>
      </c>
      <c r="L7" s="4" t="str">
        <f t="shared" ref="L7:AO7" si="0">TEXT(L8,"DDD")</f>
        <v>Mon</v>
      </c>
      <c r="M7" s="4" t="str">
        <f t="shared" si="0"/>
        <v>Tue</v>
      </c>
      <c r="N7" s="4" t="str">
        <f t="shared" si="0"/>
        <v>Wed</v>
      </c>
      <c r="O7" s="4" t="str">
        <f t="shared" si="0"/>
        <v>Thu</v>
      </c>
      <c r="P7" s="4" t="str">
        <f t="shared" si="0"/>
        <v>Fri</v>
      </c>
      <c r="Q7" s="4" t="str">
        <f t="shared" si="0"/>
        <v>Sat</v>
      </c>
      <c r="R7" s="4" t="str">
        <f t="shared" si="0"/>
        <v>Sun</v>
      </c>
      <c r="S7" s="4" t="str">
        <f t="shared" si="0"/>
        <v>Mon</v>
      </c>
      <c r="T7" s="4" t="str">
        <f t="shared" si="0"/>
        <v>Tue</v>
      </c>
      <c r="U7" s="4" t="str">
        <f t="shared" si="0"/>
        <v>Wed</v>
      </c>
      <c r="V7" s="4" t="str">
        <f t="shared" si="0"/>
        <v>Thu</v>
      </c>
      <c r="W7" s="4" t="str">
        <f t="shared" si="0"/>
        <v>Fri</v>
      </c>
      <c r="X7" s="4" t="str">
        <f t="shared" si="0"/>
        <v>Sat</v>
      </c>
      <c r="Y7" s="4" t="str">
        <f t="shared" si="0"/>
        <v>Sun</v>
      </c>
      <c r="Z7" s="4" t="str">
        <f t="shared" si="0"/>
        <v>Mon</v>
      </c>
      <c r="AA7" s="4" t="str">
        <f t="shared" si="0"/>
        <v>Tue</v>
      </c>
      <c r="AB7" s="4" t="str">
        <f t="shared" si="0"/>
        <v>Wed</v>
      </c>
      <c r="AC7" s="4" t="str">
        <f t="shared" si="0"/>
        <v>Thu</v>
      </c>
      <c r="AD7" s="4" t="str">
        <f t="shared" si="0"/>
        <v>Fri</v>
      </c>
      <c r="AE7" s="4" t="str">
        <f t="shared" si="0"/>
        <v>Sat</v>
      </c>
      <c r="AF7" s="4" t="str">
        <f t="shared" si="0"/>
        <v>Sun</v>
      </c>
      <c r="AG7" s="4" t="str">
        <f t="shared" si="0"/>
        <v>Mon</v>
      </c>
      <c r="AH7" s="4" t="str">
        <f t="shared" si="0"/>
        <v>Tue</v>
      </c>
      <c r="AI7" s="4" t="str">
        <f t="shared" si="0"/>
        <v>Wed</v>
      </c>
      <c r="AJ7" s="4" t="str">
        <f t="shared" si="0"/>
        <v>Thu</v>
      </c>
      <c r="AK7" s="4" t="str">
        <f t="shared" si="0"/>
        <v>Fri</v>
      </c>
      <c r="AL7" s="4" t="str">
        <f t="shared" si="0"/>
        <v>Sat</v>
      </c>
      <c r="AM7" s="4" t="str">
        <f t="shared" si="0"/>
        <v>Sun</v>
      </c>
      <c r="AN7" s="4" t="str">
        <f t="shared" si="0"/>
        <v>Mon</v>
      </c>
      <c r="AO7" s="4" t="str">
        <f t="shared" si="0"/>
        <v>Tue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46082</v>
      </c>
      <c r="L8" s="9">
        <f>IF(K8&lt;$L$5,K8+1,"")</f>
        <v>46083</v>
      </c>
      <c r="M8" s="9">
        <f t="shared" ref="M8:AM8" si="1">IF(L8&lt;$L$5,L8+1,"")</f>
        <v>46084</v>
      </c>
      <c r="N8" s="9">
        <f t="shared" si="1"/>
        <v>46085</v>
      </c>
      <c r="O8" s="9">
        <f t="shared" si="1"/>
        <v>46086</v>
      </c>
      <c r="P8" s="9">
        <f t="shared" si="1"/>
        <v>46087</v>
      </c>
      <c r="Q8" s="9">
        <f t="shared" si="1"/>
        <v>46088</v>
      </c>
      <c r="R8" s="9">
        <f t="shared" si="1"/>
        <v>46089</v>
      </c>
      <c r="S8" s="9">
        <f t="shared" si="1"/>
        <v>46090</v>
      </c>
      <c r="T8" s="9">
        <f t="shared" si="1"/>
        <v>46091</v>
      </c>
      <c r="U8" s="9">
        <f t="shared" si="1"/>
        <v>46092</v>
      </c>
      <c r="V8" s="9">
        <f t="shared" si="1"/>
        <v>46093</v>
      </c>
      <c r="W8" s="9">
        <f t="shared" si="1"/>
        <v>46094</v>
      </c>
      <c r="X8" s="9">
        <f t="shared" si="1"/>
        <v>46095</v>
      </c>
      <c r="Y8" s="9">
        <f t="shared" si="1"/>
        <v>46096</v>
      </c>
      <c r="Z8" s="9">
        <f t="shared" si="1"/>
        <v>46097</v>
      </c>
      <c r="AA8" s="9">
        <f t="shared" si="1"/>
        <v>46098</v>
      </c>
      <c r="AB8" s="9">
        <f t="shared" si="1"/>
        <v>46099</v>
      </c>
      <c r="AC8" s="9">
        <f t="shared" si="1"/>
        <v>46100</v>
      </c>
      <c r="AD8" s="9">
        <f t="shared" si="1"/>
        <v>46101</v>
      </c>
      <c r="AE8" s="9">
        <f t="shared" si="1"/>
        <v>46102</v>
      </c>
      <c r="AF8" s="9">
        <f t="shared" si="1"/>
        <v>46103</v>
      </c>
      <c r="AG8" s="9">
        <f t="shared" si="1"/>
        <v>46104</v>
      </c>
      <c r="AH8" s="9">
        <f t="shared" si="1"/>
        <v>46105</v>
      </c>
      <c r="AI8" s="9">
        <f t="shared" si="1"/>
        <v>46106</v>
      </c>
      <c r="AJ8" s="9">
        <f t="shared" si="1"/>
        <v>46107</v>
      </c>
      <c r="AK8" s="9">
        <f t="shared" si="1"/>
        <v>46108</v>
      </c>
      <c r="AL8" s="9">
        <f t="shared" si="1"/>
        <v>46109</v>
      </c>
      <c r="AM8" s="9">
        <f t="shared" si="1"/>
        <v>46110</v>
      </c>
      <c r="AN8" s="9">
        <f t="shared" ref="AN8:AO8" si="2">IF(AM8&lt;=$L$5,AM8+1,"")</f>
        <v>46111</v>
      </c>
      <c r="AO8" s="10">
        <f t="shared" si="2"/>
        <v>46112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5</v>
      </c>
      <c r="K9" s="15" t="str">
        <f>IF(K$7="Sun","WO","")</f>
        <v>WO</v>
      </c>
      <c r="L9" s="15"/>
      <c r="M9" s="15"/>
      <c r="N9" s="15"/>
      <c r="O9" s="15"/>
      <c r="P9" s="15"/>
      <c r="Q9" s="15"/>
      <c r="R9" s="15" t="str">
        <f t="shared" ref="R9:AM17" si="3">IF(R$7="Sun","WO","")</f>
        <v>WO</v>
      </c>
      <c r="S9" s="15"/>
      <c r="T9" s="15"/>
      <c r="U9" s="15"/>
      <c r="V9" s="15"/>
      <c r="W9" s="15"/>
      <c r="X9" s="15"/>
      <c r="Y9" s="15" t="str">
        <f t="shared" si="3"/>
        <v>WO</v>
      </c>
      <c r="Z9" s="15"/>
      <c r="AA9" s="15"/>
      <c r="AB9" s="15"/>
      <c r="AC9" s="15"/>
      <c r="AD9" s="15"/>
      <c r="AE9" s="15"/>
      <c r="AF9" s="15" t="str">
        <f t="shared" si="3"/>
        <v>WO</v>
      </c>
      <c r="AG9" s="15"/>
      <c r="AH9" s="15"/>
      <c r="AI9" s="15"/>
      <c r="AJ9" s="15"/>
      <c r="AK9" s="15"/>
      <c r="AL9" s="15"/>
      <c r="AM9" s="15" t="str">
        <f t="shared" si="3"/>
        <v>WO</v>
      </c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March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5</v>
      </c>
      <c r="AZ9" s="30">
        <f t="shared" ref="AZ9:AZ38" si="9">$I$5</f>
        <v>31</v>
      </c>
      <c r="BA9" s="30">
        <f>mar_repo[[#This Row],[Days]]-mar_repo[[#This Row],[Absent]]</f>
        <v>31</v>
      </c>
      <c r="BB9" s="31">
        <v>11000</v>
      </c>
      <c r="BC9" s="32">
        <f>mar_repo[[#This Row],[Salary]]/mar_repo[[#This Row],[Days]]</f>
        <v>354.83870967741933</v>
      </c>
      <c r="BD9" s="30">
        <f>mar_repo[[#This Row],[Per Day Salary]]*mar_repo[[#This Row],[Absent]]</f>
        <v>0</v>
      </c>
      <c r="BE9" s="30">
        <f>mar_repo[[#This Row],[Salary]]-mar_repo[[#This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5</v>
      </c>
      <c r="K10" s="15" t="str">
        <f t="shared" ref="K10:Y33" si="10">IF(K$7="Sun","WO","")</f>
        <v>WO</v>
      </c>
      <c r="L10" s="15"/>
      <c r="M10" s="15"/>
      <c r="N10" s="15"/>
      <c r="O10" s="15"/>
      <c r="P10" s="15"/>
      <c r="Q10" s="15"/>
      <c r="R10" s="15" t="str">
        <f t="shared" si="3"/>
        <v>WO</v>
      </c>
      <c r="S10" s="15"/>
      <c r="T10" s="15"/>
      <c r="U10" s="15"/>
      <c r="V10" s="15"/>
      <c r="W10" s="15"/>
      <c r="X10" s="15"/>
      <c r="Y10" s="15" t="str">
        <f t="shared" si="3"/>
        <v>WO</v>
      </c>
      <c r="Z10" s="15"/>
      <c r="AA10" s="15"/>
      <c r="AB10" s="15"/>
      <c r="AC10" s="15"/>
      <c r="AD10" s="15"/>
      <c r="AE10" s="15"/>
      <c r="AF10" s="15" t="str">
        <f t="shared" si="3"/>
        <v>WO</v>
      </c>
      <c r="AG10" s="15"/>
      <c r="AH10" s="15"/>
      <c r="AI10" s="15"/>
      <c r="AJ10" s="15"/>
      <c r="AK10" s="15"/>
      <c r="AL10" s="15"/>
      <c r="AM10" s="15" t="str">
        <f t="shared" si="3"/>
        <v>WO</v>
      </c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March</v>
      </c>
      <c r="AU10" s="29" t="str">
        <f t="shared" ref="AU10:AU38" si="11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5</v>
      </c>
      <c r="AZ10" s="30">
        <f t="shared" si="9"/>
        <v>31</v>
      </c>
      <c r="BA10" s="30">
        <f>mar_repo[[#This Row],[Days]]-mar_repo[[#This Row],[Absent]]</f>
        <v>31</v>
      </c>
      <c r="BB10" s="31">
        <v>11000</v>
      </c>
      <c r="BC10" s="32">
        <f>mar_repo[[#This Row],[Salary]]/mar_repo[[#This Row],[Days]]</f>
        <v>354.83870967741933</v>
      </c>
      <c r="BD10" s="30">
        <f>mar_repo[[#This Row],[Per Day Salary]]*mar_repo[[#This Row],[Absent]]</f>
        <v>0</v>
      </c>
      <c r="BE10" s="30">
        <f>mar_repo[[#This Row],[Salary]]-mar_repo[[#This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5</v>
      </c>
      <c r="K11" s="15" t="str">
        <f t="shared" si="10"/>
        <v>WO</v>
      </c>
      <c r="L11" s="15"/>
      <c r="M11" s="15"/>
      <c r="N11" s="15"/>
      <c r="O11" s="15"/>
      <c r="P11" s="15"/>
      <c r="Q11" s="15"/>
      <c r="R11" s="15" t="str">
        <f t="shared" si="3"/>
        <v>WO</v>
      </c>
      <c r="S11" s="15"/>
      <c r="T11" s="15"/>
      <c r="U11" s="15"/>
      <c r="V11" s="15"/>
      <c r="W11" s="15"/>
      <c r="X11" s="15"/>
      <c r="Y11" s="15" t="str">
        <f t="shared" si="3"/>
        <v>WO</v>
      </c>
      <c r="Z11" s="15"/>
      <c r="AA11" s="15"/>
      <c r="AB11" s="15"/>
      <c r="AC11" s="15"/>
      <c r="AD11" s="15"/>
      <c r="AE11" s="15"/>
      <c r="AF11" s="15" t="str">
        <f t="shared" si="3"/>
        <v>WO</v>
      </c>
      <c r="AG11" s="15"/>
      <c r="AH11" s="15"/>
      <c r="AI11" s="15"/>
      <c r="AJ11" s="15"/>
      <c r="AK11" s="15"/>
      <c r="AL11" s="15"/>
      <c r="AM11" s="15" t="str">
        <f t="shared" si="3"/>
        <v>WO</v>
      </c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March</v>
      </c>
      <c r="AU11" s="29" t="str">
        <f t="shared" si="11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5</v>
      </c>
      <c r="AZ11" s="30">
        <f t="shared" si="9"/>
        <v>31</v>
      </c>
      <c r="BA11" s="30">
        <f>mar_repo[[#This Row],[Days]]-mar_repo[[#This Row],[Absent]]</f>
        <v>31</v>
      </c>
      <c r="BB11" s="31">
        <v>11000</v>
      </c>
      <c r="BC11" s="32">
        <f>mar_repo[[#This Row],[Salary]]/mar_repo[[#This Row],[Days]]</f>
        <v>354.83870967741933</v>
      </c>
      <c r="BD11" s="30">
        <f>mar_repo[[#This Row],[Per Day Salary]]*mar_repo[[#This Row],[Absent]]</f>
        <v>0</v>
      </c>
      <c r="BE11" s="30">
        <f>mar_repo[[#This Row],[Salary]]-mar_repo[[#This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5</v>
      </c>
      <c r="K12" s="15" t="str">
        <f t="shared" si="10"/>
        <v>WO</v>
      </c>
      <c r="L12" s="15"/>
      <c r="M12" s="15"/>
      <c r="N12" s="15"/>
      <c r="O12" s="15"/>
      <c r="P12" s="15"/>
      <c r="Q12" s="15"/>
      <c r="R12" s="15" t="str">
        <f t="shared" si="3"/>
        <v>WO</v>
      </c>
      <c r="S12" s="15"/>
      <c r="T12" s="15"/>
      <c r="U12" s="15"/>
      <c r="V12" s="15"/>
      <c r="W12" s="15"/>
      <c r="X12" s="15"/>
      <c r="Y12" s="15" t="str">
        <f t="shared" si="3"/>
        <v>WO</v>
      </c>
      <c r="Z12" s="15"/>
      <c r="AA12" s="15"/>
      <c r="AB12" s="15"/>
      <c r="AC12" s="15"/>
      <c r="AD12" s="15"/>
      <c r="AE12" s="15"/>
      <c r="AF12" s="15" t="str">
        <f t="shared" si="3"/>
        <v>WO</v>
      </c>
      <c r="AG12" s="15"/>
      <c r="AH12" s="15"/>
      <c r="AI12" s="15"/>
      <c r="AJ12" s="15"/>
      <c r="AK12" s="15"/>
      <c r="AL12" s="15"/>
      <c r="AM12" s="15" t="str">
        <f t="shared" si="3"/>
        <v>WO</v>
      </c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March</v>
      </c>
      <c r="AU12" s="29" t="str">
        <f t="shared" si="11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5</v>
      </c>
      <c r="AZ12" s="30">
        <f t="shared" si="9"/>
        <v>31</v>
      </c>
      <c r="BA12" s="30">
        <f>mar_repo[[#This Row],[Days]]-mar_repo[[#This Row],[Absent]]</f>
        <v>31</v>
      </c>
      <c r="BB12" s="31">
        <v>11000</v>
      </c>
      <c r="BC12" s="32">
        <f>mar_repo[[#This Row],[Salary]]/mar_repo[[#This Row],[Days]]</f>
        <v>354.83870967741933</v>
      </c>
      <c r="BD12" s="30">
        <f>mar_repo[[#This Row],[Per Day Salary]]*mar_repo[[#This Row],[Absent]]</f>
        <v>0</v>
      </c>
      <c r="BE12" s="30">
        <f>mar_repo[[#This Row],[Salary]]-mar_repo[[#This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5</v>
      </c>
      <c r="K13" s="15" t="str">
        <f t="shared" si="10"/>
        <v>WO</v>
      </c>
      <c r="L13" s="15"/>
      <c r="M13" s="15"/>
      <c r="N13" s="15"/>
      <c r="O13" s="15"/>
      <c r="P13" s="15"/>
      <c r="Q13" s="15"/>
      <c r="R13" s="15" t="str">
        <f t="shared" si="3"/>
        <v>WO</v>
      </c>
      <c r="S13" s="15"/>
      <c r="T13" s="15"/>
      <c r="U13" s="15"/>
      <c r="V13" s="15"/>
      <c r="W13" s="15"/>
      <c r="X13" s="15"/>
      <c r="Y13" s="15" t="str">
        <f t="shared" si="3"/>
        <v>WO</v>
      </c>
      <c r="Z13" s="15"/>
      <c r="AA13" s="15"/>
      <c r="AB13" s="15"/>
      <c r="AC13" s="15"/>
      <c r="AD13" s="15"/>
      <c r="AE13" s="15"/>
      <c r="AF13" s="15" t="str">
        <f t="shared" si="3"/>
        <v>WO</v>
      </c>
      <c r="AG13" s="15"/>
      <c r="AH13" s="15"/>
      <c r="AI13" s="15"/>
      <c r="AJ13" s="15"/>
      <c r="AK13" s="15"/>
      <c r="AL13" s="15"/>
      <c r="AM13" s="15" t="str">
        <f t="shared" si="3"/>
        <v>WO</v>
      </c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March</v>
      </c>
      <c r="AU13" s="29" t="str">
        <f t="shared" si="11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5</v>
      </c>
      <c r="AZ13" s="30">
        <f t="shared" si="9"/>
        <v>31</v>
      </c>
      <c r="BA13" s="30">
        <f>mar_repo[[#This Row],[Days]]-mar_repo[[#This Row],[Absent]]</f>
        <v>31</v>
      </c>
      <c r="BB13" s="31">
        <v>0</v>
      </c>
      <c r="BC13" s="32">
        <f>mar_repo[[#This Row],[Salary]]/mar_repo[[#This Row],[Days]]</f>
        <v>0</v>
      </c>
      <c r="BD13" s="30">
        <f>mar_repo[[#This Row],[Per Day Salary]]*mar_repo[[#This Row],[Absent]]</f>
        <v>0</v>
      </c>
      <c r="BE13" s="30">
        <f>mar_repo[[#This Row],[Salary]]-mar_repo[[#This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5</v>
      </c>
      <c r="K14" s="15" t="str">
        <f t="shared" si="10"/>
        <v>WO</v>
      </c>
      <c r="L14" s="15"/>
      <c r="M14" s="15"/>
      <c r="N14" s="15"/>
      <c r="O14" s="15"/>
      <c r="P14" s="15"/>
      <c r="Q14" s="15"/>
      <c r="R14" s="15" t="str">
        <f t="shared" si="3"/>
        <v>WO</v>
      </c>
      <c r="S14" s="15"/>
      <c r="T14" s="15"/>
      <c r="U14" s="15"/>
      <c r="V14" s="15"/>
      <c r="W14" s="15"/>
      <c r="X14" s="15"/>
      <c r="Y14" s="15" t="str">
        <f t="shared" si="3"/>
        <v>WO</v>
      </c>
      <c r="Z14" s="15"/>
      <c r="AA14" s="15"/>
      <c r="AB14" s="15"/>
      <c r="AC14" s="15"/>
      <c r="AD14" s="15"/>
      <c r="AE14" s="15"/>
      <c r="AF14" s="15" t="str">
        <f t="shared" si="3"/>
        <v>WO</v>
      </c>
      <c r="AG14" s="15"/>
      <c r="AH14" s="15"/>
      <c r="AI14" s="15"/>
      <c r="AJ14" s="15"/>
      <c r="AK14" s="15"/>
      <c r="AL14" s="15"/>
      <c r="AM14" s="15" t="str">
        <f t="shared" si="3"/>
        <v>WO</v>
      </c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March</v>
      </c>
      <c r="AU14" s="29" t="str">
        <f t="shared" si="11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5</v>
      </c>
      <c r="AZ14" s="30">
        <f t="shared" si="9"/>
        <v>31</v>
      </c>
      <c r="BA14" s="30">
        <f>mar_repo[[#This Row],[Days]]-mar_repo[[#This Row],[Absent]]</f>
        <v>31</v>
      </c>
      <c r="BB14" s="31">
        <v>0</v>
      </c>
      <c r="BC14" s="32">
        <f>mar_repo[[#This Row],[Salary]]/mar_repo[[#This Row],[Days]]</f>
        <v>0</v>
      </c>
      <c r="BD14" s="30">
        <f>mar_repo[[#This Row],[Per Day Salary]]*mar_repo[[#This Row],[Absent]]</f>
        <v>0</v>
      </c>
      <c r="BE14" s="30">
        <f>mar_repo[[#This Row],[Salary]]-mar_repo[[#This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5</v>
      </c>
      <c r="K15" s="15" t="str">
        <f t="shared" si="10"/>
        <v>WO</v>
      </c>
      <c r="L15" s="15"/>
      <c r="M15" s="15"/>
      <c r="N15" s="15"/>
      <c r="O15" s="15"/>
      <c r="P15" s="15"/>
      <c r="Q15" s="15"/>
      <c r="R15" s="15" t="str">
        <f t="shared" si="3"/>
        <v>WO</v>
      </c>
      <c r="S15" s="15"/>
      <c r="T15" s="15"/>
      <c r="U15" s="15"/>
      <c r="V15" s="15"/>
      <c r="W15" s="15"/>
      <c r="X15" s="15"/>
      <c r="Y15" s="15" t="str">
        <f t="shared" si="3"/>
        <v>WO</v>
      </c>
      <c r="Z15" s="15"/>
      <c r="AA15" s="15"/>
      <c r="AB15" s="15"/>
      <c r="AC15" s="15"/>
      <c r="AD15" s="15"/>
      <c r="AE15" s="15"/>
      <c r="AF15" s="15" t="str">
        <f t="shared" si="3"/>
        <v>WO</v>
      </c>
      <c r="AG15" s="15"/>
      <c r="AH15" s="15"/>
      <c r="AI15" s="15"/>
      <c r="AJ15" s="15"/>
      <c r="AK15" s="15"/>
      <c r="AL15" s="15"/>
      <c r="AM15" s="15" t="str">
        <f t="shared" si="3"/>
        <v>WO</v>
      </c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March</v>
      </c>
      <c r="AU15" s="29" t="str">
        <f t="shared" si="11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5</v>
      </c>
      <c r="AZ15" s="30">
        <f t="shared" si="9"/>
        <v>31</v>
      </c>
      <c r="BA15" s="30">
        <f>mar_repo[[#This Row],[Days]]-mar_repo[[#This Row],[Absent]]</f>
        <v>31</v>
      </c>
      <c r="BB15" s="31">
        <v>0</v>
      </c>
      <c r="BC15" s="32">
        <f>mar_repo[[#This Row],[Salary]]/mar_repo[[#This Row],[Days]]</f>
        <v>0</v>
      </c>
      <c r="BD15" s="30">
        <f>mar_repo[[#This Row],[Per Day Salary]]*mar_repo[[#This Row],[Absent]]</f>
        <v>0</v>
      </c>
      <c r="BE15" s="30">
        <f>mar_repo[[#This Row],[Salary]]-mar_repo[[#This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5</v>
      </c>
      <c r="K16" s="15" t="str">
        <f t="shared" si="10"/>
        <v>WO</v>
      </c>
      <c r="L16" s="15"/>
      <c r="M16" s="15"/>
      <c r="N16" s="15"/>
      <c r="O16" s="15"/>
      <c r="P16" s="15"/>
      <c r="Q16" s="15"/>
      <c r="R16" s="15" t="str">
        <f t="shared" si="3"/>
        <v>WO</v>
      </c>
      <c r="S16" s="15"/>
      <c r="T16" s="15"/>
      <c r="U16" s="15"/>
      <c r="V16" s="15"/>
      <c r="W16" s="15"/>
      <c r="X16" s="15"/>
      <c r="Y16" s="15" t="str">
        <f t="shared" si="3"/>
        <v>WO</v>
      </c>
      <c r="Z16" s="15"/>
      <c r="AA16" s="15"/>
      <c r="AB16" s="15"/>
      <c r="AC16" s="15"/>
      <c r="AD16" s="15"/>
      <c r="AE16" s="15"/>
      <c r="AF16" s="15" t="str">
        <f t="shared" si="3"/>
        <v>WO</v>
      </c>
      <c r="AG16" s="15"/>
      <c r="AH16" s="15"/>
      <c r="AI16" s="15"/>
      <c r="AJ16" s="15"/>
      <c r="AK16" s="15"/>
      <c r="AL16" s="15"/>
      <c r="AM16" s="15" t="str">
        <f t="shared" si="3"/>
        <v>WO</v>
      </c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March</v>
      </c>
      <c r="AU16" s="29" t="str">
        <f t="shared" si="11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5</v>
      </c>
      <c r="AZ16" s="30">
        <f t="shared" si="9"/>
        <v>31</v>
      </c>
      <c r="BA16" s="30">
        <f>mar_repo[[#This Row],[Days]]-mar_repo[[#This Row],[Absent]]</f>
        <v>31</v>
      </c>
      <c r="BB16" s="31">
        <v>0</v>
      </c>
      <c r="BC16" s="32">
        <f>mar_repo[[#This Row],[Salary]]/mar_repo[[#This Row],[Days]]</f>
        <v>0</v>
      </c>
      <c r="BD16" s="30">
        <f>mar_repo[[#This Row],[Per Day Salary]]*mar_repo[[#This Row],[Absent]]</f>
        <v>0</v>
      </c>
      <c r="BE16" s="30">
        <f>mar_repo[[#This Row],[Salary]]-mar_repo[[#This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5</v>
      </c>
      <c r="K17" s="15" t="str">
        <f t="shared" si="10"/>
        <v>WO</v>
      </c>
      <c r="L17" s="15"/>
      <c r="M17" s="15"/>
      <c r="N17" s="15"/>
      <c r="O17" s="15"/>
      <c r="P17" s="15"/>
      <c r="Q17" s="15"/>
      <c r="R17" s="15" t="str">
        <f t="shared" si="3"/>
        <v>WO</v>
      </c>
      <c r="S17" s="15"/>
      <c r="T17" s="15"/>
      <c r="U17" s="15"/>
      <c r="V17" s="15"/>
      <c r="W17" s="15"/>
      <c r="X17" s="15"/>
      <c r="Y17" s="15" t="str">
        <f t="shared" si="3"/>
        <v>WO</v>
      </c>
      <c r="Z17" s="15"/>
      <c r="AA17" s="15"/>
      <c r="AB17" s="15"/>
      <c r="AC17" s="15"/>
      <c r="AD17" s="15"/>
      <c r="AE17" s="15"/>
      <c r="AF17" s="15" t="str">
        <f t="shared" ref="AF17:AM34" si="12">IF(AF$7="Sun","WO","")</f>
        <v>WO</v>
      </c>
      <c r="AG17" s="15"/>
      <c r="AH17" s="15"/>
      <c r="AI17" s="15"/>
      <c r="AJ17" s="15"/>
      <c r="AK17" s="15"/>
      <c r="AL17" s="15"/>
      <c r="AM17" s="15" t="str">
        <f t="shared" si="12"/>
        <v>WO</v>
      </c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March</v>
      </c>
      <c r="AU17" s="29" t="str">
        <f t="shared" si="11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5</v>
      </c>
      <c r="AZ17" s="30">
        <f t="shared" si="9"/>
        <v>31</v>
      </c>
      <c r="BA17" s="30">
        <f>mar_repo[[#This Row],[Days]]-mar_repo[[#This Row],[Absent]]</f>
        <v>31</v>
      </c>
      <c r="BB17" s="31">
        <v>0</v>
      </c>
      <c r="BC17" s="32">
        <f>mar_repo[[#This Row],[Salary]]/mar_repo[[#This Row],[Days]]</f>
        <v>0</v>
      </c>
      <c r="BD17" s="30">
        <f>mar_repo[[#This Row],[Per Day Salary]]*mar_repo[[#This Row],[Absent]]</f>
        <v>0</v>
      </c>
      <c r="BE17" s="30">
        <f>mar_repo[[#This Row],[Salary]]-mar_repo[[#This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5</v>
      </c>
      <c r="K18" s="15" t="str">
        <f t="shared" si="10"/>
        <v>WO</v>
      </c>
      <c r="L18" s="15"/>
      <c r="M18" s="15"/>
      <c r="N18" s="15"/>
      <c r="O18" s="15"/>
      <c r="P18" s="15"/>
      <c r="Q18" s="15"/>
      <c r="R18" s="15" t="str">
        <f t="shared" si="10"/>
        <v>WO</v>
      </c>
      <c r="S18" s="15"/>
      <c r="T18" s="15"/>
      <c r="U18" s="15"/>
      <c r="V18" s="15"/>
      <c r="W18" s="15"/>
      <c r="X18" s="15"/>
      <c r="Y18" s="15" t="str">
        <f t="shared" si="10"/>
        <v>WO</v>
      </c>
      <c r="Z18" s="15"/>
      <c r="AA18" s="15"/>
      <c r="AB18" s="15"/>
      <c r="AC18" s="15"/>
      <c r="AD18" s="15"/>
      <c r="AE18" s="15"/>
      <c r="AF18" s="15" t="str">
        <f t="shared" si="12"/>
        <v>WO</v>
      </c>
      <c r="AG18" s="15"/>
      <c r="AH18" s="15"/>
      <c r="AI18" s="15"/>
      <c r="AJ18" s="15"/>
      <c r="AK18" s="15"/>
      <c r="AL18" s="15"/>
      <c r="AM18" s="15" t="str">
        <f t="shared" si="12"/>
        <v>WO</v>
      </c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March</v>
      </c>
      <c r="AU18" s="29" t="str">
        <f t="shared" si="11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5</v>
      </c>
      <c r="AZ18" s="30">
        <f t="shared" si="9"/>
        <v>31</v>
      </c>
      <c r="BA18" s="30">
        <f>mar_repo[[#This Row],[Days]]-mar_repo[[#This Row],[Absent]]</f>
        <v>31</v>
      </c>
      <c r="BB18" s="31">
        <v>0</v>
      </c>
      <c r="BC18" s="32">
        <f>mar_repo[[#This Row],[Salary]]/mar_repo[[#This Row],[Days]]</f>
        <v>0</v>
      </c>
      <c r="BD18" s="30">
        <f>mar_repo[[#This Row],[Per Day Salary]]*mar_repo[[#This Row],[Absent]]</f>
        <v>0</v>
      </c>
      <c r="BE18" s="30">
        <f>mar_repo[[#This Row],[Salary]]-mar_repo[[#This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5</v>
      </c>
      <c r="K19" s="15" t="str">
        <f t="shared" si="10"/>
        <v>WO</v>
      </c>
      <c r="L19" s="15"/>
      <c r="M19" s="15"/>
      <c r="N19" s="15"/>
      <c r="O19" s="15"/>
      <c r="P19" s="15"/>
      <c r="Q19" s="15"/>
      <c r="R19" s="15" t="str">
        <f t="shared" si="10"/>
        <v>WO</v>
      </c>
      <c r="S19" s="15"/>
      <c r="T19" s="15"/>
      <c r="U19" s="15"/>
      <c r="V19" s="15"/>
      <c r="W19" s="15"/>
      <c r="X19" s="15"/>
      <c r="Y19" s="15" t="str">
        <f t="shared" si="10"/>
        <v>WO</v>
      </c>
      <c r="Z19" s="15"/>
      <c r="AA19" s="15"/>
      <c r="AB19" s="15"/>
      <c r="AC19" s="15"/>
      <c r="AD19" s="15"/>
      <c r="AE19" s="15"/>
      <c r="AF19" s="15" t="str">
        <f t="shared" si="12"/>
        <v>WO</v>
      </c>
      <c r="AG19" s="15"/>
      <c r="AH19" s="15"/>
      <c r="AI19" s="15"/>
      <c r="AJ19" s="15"/>
      <c r="AK19" s="15"/>
      <c r="AL19" s="15"/>
      <c r="AM19" s="15" t="str">
        <f t="shared" si="12"/>
        <v>WO</v>
      </c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March</v>
      </c>
      <c r="AU19" s="29" t="str">
        <f t="shared" si="11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5</v>
      </c>
      <c r="AZ19" s="30">
        <f t="shared" si="9"/>
        <v>31</v>
      </c>
      <c r="BA19" s="30">
        <f>mar_repo[[#This Row],[Days]]-mar_repo[[#This Row],[Absent]]</f>
        <v>31</v>
      </c>
      <c r="BB19" s="31">
        <v>0</v>
      </c>
      <c r="BC19" s="32">
        <f>mar_repo[[#This Row],[Salary]]/mar_repo[[#This Row],[Days]]</f>
        <v>0</v>
      </c>
      <c r="BD19" s="30">
        <f>mar_repo[[#This Row],[Per Day Salary]]*mar_repo[[#This Row],[Absent]]</f>
        <v>0</v>
      </c>
      <c r="BE19" s="30">
        <f>mar_repo[[#This Row],[Salary]]-mar_repo[[#This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5</v>
      </c>
      <c r="K20" s="15" t="str">
        <f t="shared" si="10"/>
        <v>WO</v>
      </c>
      <c r="L20" s="15"/>
      <c r="M20" s="15"/>
      <c r="N20" s="15"/>
      <c r="O20" s="15"/>
      <c r="P20" s="15"/>
      <c r="Q20" s="15"/>
      <c r="R20" s="15" t="str">
        <f t="shared" si="10"/>
        <v>WO</v>
      </c>
      <c r="S20" s="15"/>
      <c r="T20" s="15"/>
      <c r="U20" s="15"/>
      <c r="V20" s="15"/>
      <c r="W20" s="15"/>
      <c r="X20" s="15"/>
      <c r="Y20" s="15" t="str">
        <f t="shared" si="10"/>
        <v>WO</v>
      </c>
      <c r="Z20" s="15"/>
      <c r="AA20" s="15"/>
      <c r="AB20" s="15"/>
      <c r="AC20" s="15"/>
      <c r="AD20" s="15"/>
      <c r="AE20" s="15"/>
      <c r="AF20" s="15" t="str">
        <f t="shared" si="12"/>
        <v>WO</v>
      </c>
      <c r="AG20" s="15"/>
      <c r="AH20" s="15"/>
      <c r="AI20" s="15"/>
      <c r="AJ20" s="15"/>
      <c r="AK20" s="15"/>
      <c r="AL20" s="15"/>
      <c r="AM20" s="15" t="str">
        <f t="shared" si="12"/>
        <v>WO</v>
      </c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March</v>
      </c>
      <c r="AU20" s="29" t="str">
        <f t="shared" si="11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5</v>
      </c>
      <c r="AZ20" s="30">
        <f t="shared" si="9"/>
        <v>31</v>
      </c>
      <c r="BA20" s="30">
        <f>mar_repo[[#This Row],[Days]]-mar_repo[[#This Row],[Absent]]</f>
        <v>31</v>
      </c>
      <c r="BB20" s="31">
        <v>0</v>
      </c>
      <c r="BC20" s="32">
        <f>mar_repo[[#This Row],[Salary]]/mar_repo[[#This Row],[Days]]</f>
        <v>0</v>
      </c>
      <c r="BD20" s="30">
        <f>mar_repo[[#This Row],[Per Day Salary]]*mar_repo[[#This Row],[Absent]]</f>
        <v>0</v>
      </c>
      <c r="BE20" s="30">
        <f>mar_repo[[#This Row],[Salary]]-mar_repo[[#This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5</v>
      </c>
      <c r="K21" s="15" t="str">
        <f t="shared" si="10"/>
        <v>WO</v>
      </c>
      <c r="L21" s="15"/>
      <c r="M21" s="15"/>
      <c r="N21" s="15"/>
      <c r="O21" s="15"/>
      <c r="P21" s="15"/>
      <c r="Q21" s="15"/>
      <c r="R21" s="15" t="str">
        <f t="shared" si="10"/>
        <v>WO</v>
      </c>
      <c r="S21" s="15"/>
      <c r="T21" s="15"/>
      <c r="U21" s="15"/>
      <c r="V21" s="15"/>
      <c r="W21" s="15"/>
      <c r="X21" s="15"/>
      <c r="Y21" s="15" t="str">
        <f t="shared" si="10"/>
        <v>WO</v>
      </c>
      <c r="Z21" s="15"/>
      <c r="AA21" s="15"/>
      <c r="AB21" s="15"/>
      <c r="AC21" s="15"/>
      <c r="AD21" s="15"/>
      <c r="AE21" s="15"/>
      <c r="AF21" s="15" t="str">
        <f t="shared" si="12"/>
        <v>WO</v>
      </c>
      <c r="AG21" s="15"/>
      <c r="AH21" s="15"/>
      <c r="AI21" s="15"/>
      <c r="AJ21" s="15"/>
      <c r="AK21" s="15"/>
      <c r="AL21" s="15"/>
      <c r="AM21" s="15" t="str">
        <f t="shared" si="12"/>
        <v>WO</v>
      </c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March</v>
      </c>
      <c r="AU21" s="29" t="str">
        <f t="shared" si="11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5</v>
      </c>
      <c r="AZ21" s="30">
        <f t="shared" si="9"/>
        <v>31</v>
      </c>
      <c r="BA21" s="30">
        <f>mar_repo[[#This Row],[Days]]-mar_repo[[#This Row],[Absent]]</f>
        <v>31</v>
      </c>
      <c r="BB21" s="31">
        <v>0</v>
      </c>
      <c r="BC21" s="32">
        <f>mar_repo[[#This Row],[Salary]]/mar_repo[[#This Row],[Days]]</f>
        <v>0</v>
      </c>
      <c r="BD21" s="30">
        <f>mar_repo[[#This Row],[Per Day Salary]]*mar_repo[[#This Row],[Absent]]</f>
        <v>0</v>
      </c>
      <c r="BE21" s="30">
        <f>mar_repo[[#This Row],[Salary]]-mar_repo[[#This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5</v>
      </c>
      <c r="K22" s="15" t="str">
        <f t="shared" si="10"/>
        <v>WO</v>
      </c>
      <c r="L22" s="15"/>
      <c r="M22" s="15"/>
      <c r="N22" s="15"/>
      <c r="O22" s="15"/>
      <c r="P22" s="15"/>
      <c r="Q22" s="15"/>
      <c r="R22" s="15" t="str">
        <f t="shared" si="10"/>
        <v>WO</v>
      </c>
      <c r="S22" s="15"/>
      <c r="T22" s="15"/>
      <c r="U22" s="15"/>
      <c r="V22" s="15"/>
      <c r="W22" s="15"/>
      <c r="X22" s="15"/>
      <c r="Y22" s="15" t="str">
        <f t="shared" si="10"/>
        <v>WO</v>
      </c>
      <c r="Z22" s="15"/>
      <c r="AA22" s="15"/>
      <c r="AB22" s="15"/>
      <c r="AC22" s="15"/>
      <c r="AD22" s="15"/>
      <c r="AE22" s="15"/>
      <c r="AF22" s="15" t="str">
        <f t="shared" si="12"/>
        <v>WO</v>
      </c>
      <c r="AG22" s="15"/>
      <c r="AH22" s="15"/>
      <c r="AI22" s="15"/>
      <c r="AJ22" s="15"/>
      <c r="AK22" s="15"/>
      <c r="AL22" s="15"/>
      <c r="AM22" s="15" t="str">
        <f t="shared" si="12"/>
        <v>WO</v>
      </c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March</v>
      </c>
      <c r="AU22" s="29" t="str">
        <f t="shared" si="11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5</v>
      </c>
      <c r="AZ22" s="30">
        <f t="shared" si="9"/>
        <v>31</v>
      </c>
      <c r="BA22" s="30">
        <f>mar_repo[[#This Row],[Days]]-mar_repo[[#This Row],[Absent]]</f>
        <v>31</v>
      </c>
      <c r="BB22" s="31">
        <v>0</v>
      </c>
      <c r="BC22" s="32">
        <f>mar_repo[[#This Row],[Salary]]/mar_repo[[#This Row],[Days]]</f>
        <v>0</v>
      </c>
      <c r="BD22" s="30">
        <f>mar_repo[[#This Row],[Per Day Salary]]*mar_repo[[#This Row],[Absent]]</f>
        <v>0</v>
      </c>
      <c r="BE22" s="30">
        <f>mar_repo[[#This Row],[Salary]]-mar_repo[[#This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5</v>
      </c>
      <c r="K23" s="15" t="str">
        <f t="shared" si="10"/>
        <v>WO</v>
      </c>
      <c r="L23" s="15"/>
      <c r="M23" s="15"/>
      <c r="N23" s="15"/>
      <c r="O23" s="15"/>
      <c r="P23" s="15"/>
      <c r="Q23" s="15"/>
      <c r="R23" s="15" t="str">
        <f t="shared" si="10"/>
        <v>WO</v>
      </c>
      <c r="S23" s="15"/>
      <c r="T23" s="15"/>
      <c r="U23" s="15"/>
      <c r="V23" s="15"/>
      <c r="W23" s="15"/>
      <c r="X23" s="15"/>
      <c r="Y23" s="15" t="str">
        <f t="shared" si="10"/>
        <v>WO</v>
      </c>
      <c r="Z23" s="15"/>
      <c r="AA23" s="15"/>
      <c r="AB23" s="15"/>
      <c r="AC23" s="15"/>
      <c r="AD23" s="15"/>
      <c r="AE23" s="15"/>
      <c r="AF23" s="15" t="str">
        <f t="shared" si="12"/>
        <v>WO</v>
      </c>
      <c r="AG23" s="15"/>
      <c r="AH23" s="15"/>
      <c r="AI23" s="15"/>
      <c r="AJ23" s="15"/>
      <c r="AK23" s="15"/>
      <c r="AL23" s="15"/>
      <c r="AM23" s="15" t="str">
        <f t="shared" si="12"/>
        <v>WO</v>
      </c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March</v>
      </c>
      <c r="AU23" s="29" t="str">
        <f t="shared" si="11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5</v>
      </c>
      <c r="AZ23" s="30">
        <f t="shared" si="9"/>
        <v>31</v>
      </c>
      <c r="BA23" s="30">
        <f>mar_repo[[#This Row],[Days]]-mar_repo[[#This Row],[Absent]]</f>
        <v>31</v>
      </c>
      <c r="BB23" s="31">
        <v>0</v>
      </c>
      <c r="BC23" s="32">
        <f>mar_repo[[#This Row],[Salary]]/mar_repo[[#This Row],[Days]]</f>
        <v>0</v>
      </c>
      <c r="BD23" s="30">
        <f>mar_repo[[#This Row],[Per Day Salary]]*mar_repo[[#This Row],[Absent]]</f>
        <v>0</v>
      </c>
      <c r="BE23" s="30">
        <f>mar_repo[[#This Row],[Salary]]-mar_repo[[#This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5</v>
      </c>
      <c r="K24" s="15" t="str">
        <f t="shared" si="10"/>
        <v>WO</v>
      </c>
      <c r="L24" s="15"/>
      <c r="M24" s="15"/>
      <c r="N24" s="15"/>
      <c r="O24" s="15"/>
      <c r="P24" s="15"/>
      <c r="Q24" s="15"/>
      <c r="R24" s="15" t="str">
        <f t="shared" si="10"/>
        <v>WO</v>
      </c>
      <c r="S24" s="15"/>
      <c r="T24" s="15"/>
      <c r="U24" s="15"/>
      <c r="V24" s="15"/>
      <c r="W24" s="15"/>
      <c r="X24" s="15"/>
      <c r="Y24" s="15" t="str">
        <f t="shared" si="10"/>
        <v>WO</v>
      </c>
      <c r="Z24" s="15"/>
      <c r="AA24" s="15"/>
      <c r="AB24" s="15"/>
      <c r="AC24" s="15"/>
      <c r="AD24" s="15"/>
      <c r="AE24" s="15"/>
      <c r="AF24" s="15" t="str">
        <f t="shared" si="12"/>
        <v>WO</v>
      </c>
      <c r="AG24" s="15"/>
      <c r="AH24" s="15"/>
      <c r="AI24" s="15"/>
      <c r="AJ24" s="15"/>
      <c r="AK24" s="15"/>
      <c r="AL24" s="15"/>
      <c r="AM24" s="15" t="str">
        <f t="shared" si="12"/>
        <v>WO</v>
      </c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March</v>
      </c>
      <c r="AU24" s="29" t="str">
        <f t="shared" si="11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5</v>
      </c>
      <c r="AZ24" s="30">
        <f t="shared" si="9"/>
        <v>31</v>
      </c>
      <c r="BA24" s="30">
        <f>mar_repo[[#This Row],[Days]]-mar_repo[[#This Row],[Absent]]</f>
        <v>31</v>
      </c>
      <c r="BB24" s="31">
        <v>0</v>
      </c>
      <c r="BC24" s="32">
        <f>mar_repo[[#This Row],[Salary]]/mar_repo[[#This Row],[Days]]</f>
        <v>0</v>
      </c>
      <c r="BD24" s="30">
        <f>mar_repo[[#This Row],[Per Day Salary]]*mar_repo[[#This Row],[Absent]]</f>
        <v>0</v>
      </c>
      <c r="BE24" s="30">
        <f>mar_repo[[#This Row],[Salary]]-mar_repo[[#This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5</v>
      </c>
      <c r="K25" s="15" t="str">
        <f t="shared" si="10"/>
        <v>WO</v>
      </c>
      <c r="L25" s="15"/>
      <c r="M25" s="15"/>
      <c r="N25" s="15"/>
      <c r="O25" s="15"/>
      <c r="P25" s="15"/>
      <c r="Q25" s="15"/>
      <c r="R25" s="15" t="str">
        <f t="shared" si="10"/>
        <v>WO</v>
      </c>
      <c r="S25" s="15"/>
      <c r="T25" s="15"/>
      <c r="U25" s="15"/>
      <c r="V25" s="15"/>
      <c r="W25" s="15"/>
      <c r="X25" s="15"/>
      <c r="Y25" s="15" t="str">
        <f t="shared" si="10"/>
        <v>WO</v>
      </c>
      <c r="Z25" s="15"/>
      <c r="AA25" s="15"/>
      <c r="AB25" s="15"/>
      <c r="AC25" s="15"/>
      <c r="AD25" s="15"/>
      <c r="AE25" s="15"/>
      <c r="AF25" s="15" t="str">
        <f t="shared" si="12"/>
        <v>WO</v>
      </c>
      <c r="AG25" s="15"/>
      <c r="AH25" s="15"/>
      <c r="AI25" s="15"/>
      <c r="AJ25" s="15"/>
      <c r="AK25" s="15"/>
      <c r="AL25" s="15"/>
      <c r="AM25" s="15" t="str">
        <f t="shared" si="12"/>
        <v>WO</v>
      </c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March</v>
      </c>
      <c r="AU25" s="29" t="str">
        <f t="shared" si="11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5</v>
      </c>
      <c r="AZ25" s="30">
        <f t="shared" si="9"/>
        <v>31</v>
      </c>
      <c r="BA25" s="30">
        <f>mar_repo[[#This Row],[Days]]-mar_repo[[#This Row],[Absent]]</f>
        <v>31</v>
      </c>
      <c r="BB25" s="31">
        <v>0</v>
      </c>
      <c r="BC25" s="32">
        <f>mar_repo[[#This Row],[Salary]]/mar_repo[[#This Row],[Days]]</f>
        <v>0</v>
      </c>
      <c r="BD25" s="30">
        <f>mar_repo[[#This Row],[Per Day Salary]]*mar_repo[[#This Row],[Absent]]</f>
        <v>0</v>
      </c>
      <c r="BE25" s="30">
        <f>mar_repo[[#This Row],[Salary]]-mar_repo[[#This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5</v>
      </c>
      <c r="K26" s="15" t="str">
        <f t="shared" si="10"/>
        <v>WO</v>
      </c>
      <c r="L26" s="15"/>
      <c r="M26" s="15"/>
      <c r="N26" s="15"/>
      <c r="O26" s="15"/>
      <c r="P26" s="15"/>
      <c r="Q26" s="15"/>
      <c r="R26" s="15" t="str">
        <f t="shared" si="10"/>
        <v>WO</v>
      </c>
      <c r="S26" s="15"/>
      <c r="T26" s="15"/>
      <c r="U26" s="15"/>
      <c r="V26" s="15"/>
      <c r="W26" s="15"/>
      <c r="X26" s="15"/>
      <c r="Y26" s="15" t="str">
        <f t="shared" si="10"/>
        <v>WO</v>
      </c>
      <c r="Z26" s="15"/>
      <c r="AA26" s="15"/>
      <c r="AB26" s="15"/>
      <c r="AC26" s="15"/>
      <c r="AD26" s="15"/>
      <c r="AE26" s="15"/>
      <c r="AF26" s="15" t="str">
        <f t="shared" si="12"/>
        <v>WO</v>
      </c>
      <c r="AG26" s="15"/>
      <c r="AH26" s="15"/>
      <c r="AI26" s="15"/>
      <c r="AJ26" s="15"/>
      <c r="AK26" s="15"/>
      <c r="AL26" s="15"/>
      <c r="AM26" s="15" t="str">
        <f t="shared" si="12"/>
        <v>WO</v>
      </c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March</v>
      </c>
      <c r="AU26" s="29" t="str">
        <f t="shared" si="11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5</v>
      </c>
      <c r="AZ26" s="30">
        <f t="shared" si="9"/>
        <v>31</v>
      </c>
      <c r="BA26" s="30">
        <f>mar_repo[[#This Row],[Days]]-mar_repo[[#This Row],[Absent]]</f>
        <v>31</v>
      </c>
      <c r="BB26" s="31">
        <v>0</v>
      </c>
      <c r="BC26" s="32">
        <f>mar_repo[[#This Row],[Salary]]/mar_repo[[#This Row],[Days]]</f>
        <v>0</v>
      </c>
      <c r="BD26" s="30">
        <f>mar_repo[[#This Row],[Per Day Salary]]*mar_repo[[#This Row],[Absent]]</f>
        <v>0</v>
      </c>
      <c r="BE26" s="30">
        <f>mar_repo[[#This Row],[Salary]]-mar_repo[[#This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5</v>
      </c>
      <c r="K27" s="15" t="str">
        <f t="shared" si="10"/>
        <v>WO</v>
      </c>
      <c r="L27" s="15"/>
      <c r="M27" s="15"/>
      <c r="N27" s="15"/>
      <c r="O27" s="15"/>
      <c r="P27" s="15"/>
      <c r="Q27" s="15"/>
      <c r="R27" s="15" t="str">
        <f t="shared" si="10"/>
        <v>WO</v>
      </c>
      <c r="S27" s="15"/>
      <c r="T27" s="15"/>
      <c r="U27" s="15"/>
      <c r="V27" s="15"/>
      <c r="W27" s="15"/>
      <c r="X27" s="15"/>
      <c r="Y27" s="15" t="str">
        <f t="shared" si="10"/>
        <v>WO</v>
      </c>
      <c r="Z27" s="15"/>
      <c r="AA27" s="15"/>
      <c r="AB27" s="15"/>
      <c r="AC27" s="15"/>
      <c r="AD27" s="15"/>
      <c r="AE27" s="15"/>
      <c r="AF27" s="15" t="str">
        <f t="shared" si="12"/>
        <v>WO</v>
      </c>
      <c r="AG27" s="15"/>
      <c r="AH27" s="15"/>
      <c r="AI27" s="15"/>
      <c r="AJ27" s="15"/>
      <c r="AK27" s="15"/>
      <c r="AL27" s="15"/>
      <c r="AM27" s="15" t="str">
        <f t="shared" si="12"/>
        <v>WO</v>
      </c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March</v>
      </c>
      <c r="AU27" s="29" t="str">
        <f t="shared" si="11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5</v>
      </c>
      <c r="AZ27" s="30">
        <f t="shared" si="9"/>
        <v>31</v>
      </c>
      <c r="BA27" s="30">
        <f>mar_repo[[#This Row],[Days]]-mar_repo[[#This Row],[Absent]]</f>
        <v>31</v>
      </c>
      <c r="BB27" s="31">
        <v>0</v>
      </c>
      <c r="BC27" s="32">
        <f>mar_repo[[#This Row],[Salary]]/mar_repo[[#This Row],[Days]]</f>
        <v>0</v>
      </c>
      <c r="BD27" s="30">
        <f>mar_repo[[#This Row],[Per Day Salary]]*mar_repo[[#This Row],[Absent]]</f>
        <v>0</v>
      </c>
      <c r="BE27" s="30">
        <f>mar_repo[[#This Row],[Salary]]-mar_repo[[#This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5</v>
      </c>
      <c r="K28" s="15" t="str">
        <f t="shared" si="10"/>
        <v>WO</v>
      </c>
      <c r="L28" s="15"/>
      <c r="M28" s="15"/>
      <c r="N28" s="15"/>
      <c r="O28" s="15"/>
      <c r="P28" s="15"/>
      <c r="Q28" s="15"/>
      <c r="R28" s="15" t="str">
        <f t="shared" si="10"/>
        <v>WO</v>
      </c>
      <c r="S28" s="15"/>
      <c r="T28" s="15"/>
      <c r="U28" s="15"/>
      <c r="V28" s="15"/>
      <c r="W28" s="15"/>
      <c r="X28" s="15"/>
      <c r="Y28" s="15" t="str">
        <f t="shared" si="10"/>
        <v>WO</v>
      </c>
      <c r="Z28" s="15"/>
      <c r="AA28" s="15"/>
      <c r="AB28" s="15"/>
      <c r="AC28" s="15"/>
      <c r="AD28" s="15"/>
      <c r="AE28" s="15"/>
      <c r="AF28" s="15" t="str">
        <f t="shared" si="12"/>
        <v>WO</v>
      </c>
      <c r="AG28" s="15"/>
      <c r="AH28" s="15"/>
      <c r="AI28" s="15"/>
      <c r="AJ28" s="15"/>
      <c r="AK28" s="15"/>
      <c r="AL28" s="15"/>
      <c r="AM28" s="15" t="str">
        <f t="shared" si="12"/>
        <v>WO</v>
      </c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March</v>
      </c>
      <c r="AU28" s="29" t="str">
        <f t="shared" si="11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5</v>
      </c>
      <c r="AZ28" s="30">
        <f t="shared" si="9"/>
        <v>31</v>
      </c>
      <c r="BA28" s="30">
        <f>mar_repo[[#This Row],[Days]]-mar_repo[[#This Row],[Absent]]</f>
        <v>31</v>
      </c>
      <c r="BB28" s="31">
        <v>0</v>
      </c>
      <c r="BC28" s="32">
        <f>mar_repo[[#This Row],[Salary]]/mar_repo[[#This Row],[Days]]</f>
        <v>0</v>
      </c>
      <c r="BD28" s="30">
        <f>mar_repo[[#This Row],[Per Day Salary]]*mar_repo[[#This Row],[Absent]]</f>
        <v>0</v>
      </c>
      <c r="BE28" s="30">
        <f>mar_repo[[#This Row],[Salary]]-mar_repo[[#This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5</v>
      </c>
      <c r="K29" s="15" t="str">
        <f t="shared" si="10"/>
        <v>WO</v>
      </c>
      <c r="L29" s="15"/>
      <c r="M29" s="15"/>
      <c r="N29" s="15"/>
      <c r="O29" s="15"/>
      <c r="P29" s="15"/>
      <c r="Q29" s="15"/>
      <c r="R29" s="15" t="str">
        <f t="shared" si="10"/>
        <v>WO</v>
      </c>
      <c r="S29" s="15"/>
      <c r="T29" s="15"/>
      <c r="U29" s="15"/>
      <c r="V29" s="15"/>
      <c r="W29" s="15"/>
      <c r="X29" s="15"/>
      <c r="Y29" s="15" t="str">
        <f t="shared" si="10"/>
        <v>WO</v>
      </c>
      <c r="Z29" s="15"/>
      <c r="AA29" s="15"/>
      <c r="AB29" s="15"/>
      <c r="AC29" s="15"/>
      <c r="AD29" s="15"/>
      <c r="AE29" s="15"/>
      <c r="AF29" s="15" t="str">
        <f t="shared" si="12"/>
        <v>WO</v>
      </c>
      <c r="AG29" s="15"/>
      <c r="AH29" s="15"/>
      <c r="AI29" s="15"/>
      <c r="AJ29" s="15"/>
      <c r="AK29" s="15"/>
      <c r="AL29" s="15"/>
      <c r="AM29" s="15" t="str">
        <f t="shared" si="12"/>
        <v>WO</v>
      </c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March</v>
      </c>
      <c r="AU29" s="29" t="str">
        <f t="shared" si="11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5</v>
      </c>
      <c r="AZ29" s="30">
        <f t="shared" si="9"/>
        <v>31</v>
      </c>
      <c r="BA29" s="30">
        <f>mar_repo[[#This Row],[Days]]-mar_repo[[#This Row],[Absent]]</f>
        <v>31</v>
      </c>
      <c r="BB29" s="31">
        <v>0</v>
      </c>
      <c r="BC29" s="32">
        <f>mar_repo[[#This Row],[Salary]]/mar_repo[[#This Row],[Days]]</f>
        <v>0</v>
      </c>
      <c r="BD29" s="30">
        <f>mar_repo[[#This Row],[Per Day Salary]]*mar_repo[[#This Row],[Absent]]</f>
        <v>0</v>
      </c>
      <c r="BE29" s="30">
        <f>mar_repo[[#This Row],[Salary]]-mar_repo[[#This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5</v>
      </c>
      <c r="K30" s="15" t="str">
        <f t="shared" si="10"/>
        <v>WO</v>
      </c>
      <c r="L30" s="15"/>
      <c r="M30" s="15"/>
      <c r="N30" s="15"/>
      <c r="O30" s="15"/>
      <c r="P30" s="15"/>
      <c r="Q30" s="15"/>
      <c r="R30" s="15" t="str">
        <f t="shared" si="10"/>
        <v>WO</v>
      </c>
      <c r="S30" s="15"/>
      <c r="T30" s="15"/>
      <c r="U30" s="15"/>
      <c r="V30" s="15"/>
      <c r="W30" s="15"/>
      <c r="X30" s="15"/>
      <c r="Y30" s="15" t="str">
        <f t="shared" si="10"/>
        <v>WO</v>
      </c>
      <c r="Z30" s="15"/>
      <c r="AA30" s="15"/>
      <c r="AB30" s="15"/>
      <c r="AC30" s="15"/>
      <c r="AD30" s="15"/>
      <c r="AE30" s="15"/>
      <c r="AF30" s="15" t="str">
        <f t="shared" si="12"/>
        <v>WO</v>
      </c>
      <c r="AG30" s="15"/>
      <c r="AH30" s="15"/>
      <c r="AI30" s="15"/>
      <c r="AJ30" s="15"/>
      <c r="AK30" s="15"/>
      <c r="AL30" s="15"/>
      <c r="AM30" s="15" t="str">
        <f t="shared" si="12"/>
        <v>WO</v>
      </c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March</v>
      </c>
      <c r="AU30" s="29" t="str">
        <f t="shared" si="11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5</v>
      </c>
      <c r="AZ30" s="30">
        <f t="shared" si="9"/>
        <v>31</v>
      </c>
      <c r="BA30" s="30">
        <f>mar_repo[[#This Row],[Days]]-mar_repo[[#This Row],[Absent]]</f>
        <v>31</v>
      </c>
      <c r="BB30" s="31">
        <v>0</v>
      </c>
      <c r="BC30" s="32">
        <f>mar_repo[[#This Row],[Salary]]/mar_repo[[#This Row],[Days]]</f>
        <v>0</v>
      </c>
      <c r="BD30" s="30">
        <f>mar_repo[[#This Row],[Per Day Salary]]*mar_repo[[#This Row],[Absent]]</f>
        <v>0</v>
      </c>
      <c r="BE30" s="30">
        <f>mar_repo[[#This Row],[Salary]]-mar_repo[[#This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5</v>
      </c>
      <c r="K31" s="15" t="str">
        <f t="shared" si="10"/>
        <v>WO</v>
      </c>
      <c r="L31" s="15"/>
      <c r="M31" s="15"/>
      <c r="N31" s="15"/>
      <c r="O31" s="15"/>
      <c r="P31" s="15"/>
      <c r="Q31" s="15"/>
      <c r="R31" s="15" t="str">
        <f t="shared" si="10"/>
        <v>WO</v>
      </c>
      <c r="S31" s="15"/>
      <c r="T31" s="15"/>
      <c r="U31" s="15"/>
      <c r="V31" s="15"/>
      <c r="W31" s="15"/>
      <c r="X31" s="15"/>
      <c r="Y31" s="15" t="str">
        <f t="shared" si="10"/>
        <v>WO</v>
      </c>
      <c r="Z31" s="15"/>
      <c r="AA31" s="15"/>
      <c r="AB31" s="15"/>
      <c r="AC31" s="15"/>
      <c r="AD31" s="15"/>
      <c r="AE31" s="15"/>
      <c r="AF31" s="15" t="str">
        <f t="shared" si="12"/>
        <v>WO</v>
      </c>
      <c r="AG31" s="15"/>
      <c r="AH31" s="15"/>
      <c r="AI31" s="15"/>
      <c r="AJ31" s="15"/>
      <c r="AK31" s="15"/>
      <c r="AL31" s="15"/>
      <c r="AM31" s="15" t="str">
        <f t="shared" si="12"/>
        <v>WO</v>
      </c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March</v>
      </c>
      <c r="AU31" s="29" t="str">
        <f t="shared" si="11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5</v>
      </c>
      <c r="AZ31" s="30">
        <f t="shared" si="9"/>
        <v>31</v>
      </c>
      <c r="BA31" s="30">
        <f>mar_repo[[#This Row],[Days]]-mar_repo[[#This Row],[Absent]]</f>
        <v>31</v>
      </c>
      <c r="BB31" s="31">
        <v>0</v>
      </c>
      <c r="BC31" s="32">
        <f>mar_repo[[#This Row],[Salary]]/mar_repo[[#This Row],[Days]]</f>
        <v>0</v>
      </c>
      <c r="BD31" s="30">
        <f>mar_repo[[#This Row],[Per Day Salary]]*mar_repo[[#This Row],[Absent]]</f>
        <v>0</v>
      </c>
      <c r="BE31" s="30">
        <f>mar_repo[[#This Row],[Salary]]-mar_repo[[#This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5</v>
      </c>
      <c r="K32" s="15" t="str">
        <f t="shared" si="10"/>
        <v>WO</v>
      </c>
      <c r="L32" s="15"/>
      <c r="M32" s="15"/>
      <c r="N32" s="15"/>
      <c r="O32" s="15"/>
      <c r="P32" s="15"/>
      <c r="Q32" s="15"/>
      <c r="R32" s="15" t="str">
        <f t="shared" si="10"/>
        <v>WO</v>
      </c>
      <c r="S32" s="15"/>
      <c r="T32" s="15"/>
      <c r="U32" s="15"/>
      <c r="V32" s="15"/>
      <c r="W32" s="15"/>
      <c r="X32" s="15"/>
      <c r="Y32" s="15" t="str">
        <f t="shared" si="10"/>
        <v>WO</v>
      </c>
      <c r="Z32" s="15"/>
      <c r="AA32" s="15"/>
      <c r="AB32" s="15"/>
      <c r="AC32" s="15"/>
      <c r="AD32" s="15"/>
      <c r="AE32" s="15"/>
      <c r="AF32" s="15" t="str">
        <f t="shared" si="12"/>
        <v>WO</v>
      </c>
      <c r="AG32" s="15"/>
      <c r="AH32" s="15"/>
      <c r="AI32" s="15"/>
      <c r="AJ32" s="15"/>
      <c r="AK32" s="15"/>
      <c r="AL32" s="15"/>
      <c r="AM32" s="15" t="str">
        <f t="shared" si="12"/>
        <v>WO</v>
      </c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March</v>
      </c>
      <c r="AU32" s="29" t="str">
        <f t="shared" si="11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5</v>
      </c>
      <c r="AZ32" s="30">
        <f t="shared" si="9"/>
        <v>31</v>
      </c>
      <c r="BA32" s="30">
        <f>mar_repo[[#This Row],[Days]]-mar_repo[[#This Row],[Absent]]</f>
        <v>31</v>
      </c>
      <c r="BB32" s="31">
        <v>0</v>
      </c>
      <c r="BC32" s="32">
        <f>mar_repo[[#This Row],[Salary]]/mar_repo[[#This Row],[Days]]</f>
        <v>0</v>
      </c>
      <c r="BD32" s="30">
        <f>mar_repo[[#This Row],[Per Day Salary]]*mar_repo[[#This Row],[Absent]]</f>
        <v>0</v>
      </c>
      <c r="BE32" s="30">
        <f>mar_repo[[#This Row],[Salary]]-mar_repo[[#This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5</v>
      </c>
      <c r="K33" s="15" t="str">
        <f t="shared" si="10"/>
        <v>WO</v>
      </c>
      <c r="L33" s="15"/>
      <c r="M33" s="15"/>
      <c r="N33" s="15"/>
      <c r="O33" s="15"/>
      <c r="P33" s="15"/>
      <c r="Q33" s="15"/>
      <c r="R33" s="15" t="str">
        <f t="shared" ref="R33:AF38" si="13">IF(R$7="Sun","WO","")</f>
        <v>WO</v>
      </c>
      <c r="S33" s="15"/>
      <c r="T33" s="15"/>
      <c r="U33" s="15"/>
      <c r="V33" s="15"/>
      <c r="W33" s="15"/>
      <c r="X33" s="15"/>
      <c r="Y33" s="15" t="str">
        <f t="shared" si="13"/>
        <v>WO</v>
      </c>
      <c r="Z33" s="15"/>
      <c r="AA33" s="15"/>
      <c r="AB33" s="15"/>
      <c r="AC33" s="15"/>
      <c r="AD33" s="15"/>
      <c r="AE33" s="15"/>
      <c r="AF33" s="15" t="str">
        <f t="shared" si="13"/>
        <v>WO</v>
      </c>
      <c r="AG33" s="15"/>
      <c r="AH33" s="15"/>
      <c r="AI33" s="15"/>
      <c r="AJ33" s="15"/>
      <c r="AK33" s="15"/>
      <c r="AL33" s="15"/>
      <c r="AM33" s="15" t="str">
        <f t="shared" si="12"/>
        <v>WO</v>
      </c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March</v>
      </c>
      <c r="AU33" s="29" t="str">
        <f t="shared" si="11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5</v>
      </c>
      <c r="AZ33" s="30">
        <f t="shared" si="9"/>
        <v>31</v>
      </c>
      <c r="BA33" s="30">
        <f>mar_repo[[#This Row],[Days]]-mar_repo[[#This Row],[Absent]]</f>
        <v>31</v>
      </c>
      <c r="BB33" s="31">
        <v>0</v>
      </c>
      <c r="BC33" s="32">
        <f>mar_repo[[#This Row],[Salary]]/mar_repo[[#This Row],[Days]]</f>
        <v>0</v>
      </c>
      <c r="BD33" s="30">
        <f>mar_repo[[#This Row],[Per Day Salary]]*mar_repo[[#This Row],[Absent]]</f>
        <v>0</v>
      </c>
      <c r="BE33" s="30">
        <f>mar_repo[[#This Row],[Salary]]-mar_repo[[#This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5</v>
      </c>
      <c r="K34" s="15" t="str">
        <f t="shared" ref="K34:Y38" si="14">IF(K$7="Sun","WO","")</f>
        <v>WO</v>
      </c>
      <c r="L34" s="15"/>
      <c r="M34" s="15"/>
      <c r="N34" s="15"/>
      <c r="O34" s="15"/>
      <c r="P34" s="15"/>
      <c r="Q34" s="15"/>
      <c r="R34" s="15" t="str">
        <f t="shared" si="14"/>
        <v>WO</v>
      </c>
      <c r="S34" s="15"/>
      <c r="T34" s="15"/>
      <c r="U34" s="15"/>
      <c r="V34" s="15"/>
      <c r="W34" s="15"/>
      <c r="X34" s="15"/>
      <c r="Y34" s="15" t="str">
        <f t="shared" si="14"/>
        <v>WO</v>
      </c>
      <c r="Z34" s="15"/>
      <c r="AA34" s="15"/>
      <c r="AB34" s="15"/>
      <c r="AC34" s="15"/>
      <c r="AD34" s="15"/>
      <c r="AE34" s="15"/>
      <c r="AF34" s="15" t="str">
        <f t="shared" si="13"/>
        <v>WO</v>
      </c>
      <c r="AG34" s="15"/>
      <c r="AH34" s="15"/>
      <c r="AI34" s="15"/>
      <c r="AJ34" s="15"/>
      <c r="AK34" s="15"/>
      <c r="AL34" s="15"/>
      <c r="AM34" s="15" t="str">
        <f t="shared" si="12"/>
        <v>WO</v>
      </c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March</v>
      </c>
      <c r="AU34" s="29" t="str">
        <f t="shared" si="11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5</v>
      </c>
      <c r="AZ34" s="30">
        <f t="shared" si="9"/>
        <v>31</v>
      </c>
      <c r="BA34" s="30">
        <f>mar_repo[[#This Row],[Days]]-mar_repo[[#This Row],[Absent]]</f>
        <v>31</v>
      </c>
      <c r="BB34" s="31">
        <v>0</v>
      </c>
      <c r="BC34" s="32">
        <f>mar_repo[[#This Row],[Salary]]/mar_repo[[#This Row],[Days]]</f>
        <v>0</v>
      </c>
      <c r="BD34" s="30">
        <f>mar_repo[[#This Row],[Per Day Salary]]*mar_repo[[#This Row],[Absent]]</f>
        <v>0</v>
      </c>
      <c r="BE34" s="30">
        <f>mar_repo[[#This Row],[Salary]]-mar_repo[[#This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5</v>
      </c>
      <c r="K35" s="15" t="str">
        <f t="shared" si="14"/>
        <v>WO</v>
      </c>
      <c r="L35" s="15"/>
      <c r="M35" s="15"/>
      <c r="N35" s="15"/>
      <c r="O35" s="15"/>
      <c r="P35" s="15"/>
      <c r="Q35" s="15"/>
      <c r="R35" s="15" t="str">
        <f t="shared" si="14"/>
        <v>WO</v>
      </c>
      <c r="S35" s="15"/>
      <c r="T35" s="15"/>
      <c r="U35" s="15"/>
      <c r="V35" s="15"/>
      <c r="W35" s="15"/>
      <c r="X35" s="15"/>
      <c r="Y35" s="15" t="str">
        <f t="shared" si="14"/>
        <v>WO</v>
      </c>
      <c r="Z35" s="15"/>
      <c r="AA35" s="15"/>
      <c r="AB35" s="15"/>
      <c r="AC35" s="15"/>
      <c r="AD35" s="15"/>
      <c r="AE35" s="15"/>
      <c r="AF35" s="15" t="str">
        <f t="shared" si="13"/>
        <v>WO</v>
      </c>
      <c r="AG35" s="15"/>
      <c r="AH35" s="15"/>
      <c r="AI35" s="15"/>
      <c r="AJ35" s="15"/>
      <c r="AK35" s="15"/>
      <c r="AL35" s="15"/>
      <c r="AM35" s="15" t="str">
        <f t="shared" ref="AM35:AM38" si="15">IF(AM$7="Sun","WO","")</f>
        <v>WO</v>
      </c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March</v>
      </c>
      <c r="AU35" s="29" t="str">
        <f t="shared" si="11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5</v>
      </c>
      <c r="AZ35" s="30">
        <f t="shared" si="9"/>
        <v>31</v>
      </c>
      <c r="BA35" s="30">
        <f>mar_repo[[#This Row],[Days]]-mar_repo[[#This Row],[Absent]]</f>
        <v>31</v>
      </c>
      <c r="BB35" s="31">
        <v>0</v>
      </c>
      <c r="BC35" s="32">
        <f>mar_repo[[#This Row],[Salary]]/mar_repo[[#This Row],[Days]]</f>
        <v>0</v>
      </c>
      <c r="BD35" s="30">
        <f>mar_repo[[#This Row],[Per Day Salary]]*mar_repo[[#This Row],[Absent]]</f>
        <v>0</v>
      </c>
      <c r="BE35" s="30">
        <f>mar_repo[[#This Row],[Salary]]-mar_repo[[#This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5</v>
      </c>
      <c r="K36" s="15" t="str">
        <f t="shared" si="14"/>
        <v>WO</v>
      </c>
      <c r="L36" s="15"/>
      <c r="M36" s="15"/>
      <c r="N36" s="15"/>
      <c r="O36" s="15"/>
      <c r="P36" s="15"/>
      <c r="Q36" s="15"/>
      <c r="R36" s="15" t="str">
        <f t="shared" si="14"/>
        <v>WO</v>
      </c>
      <c r="S36" s="15"/>
      <c r="T36" s="15"/>
      <c r="U36" s="15"/>
      <c r="V36" s="15"/>
      <c r="W36" s="15"/>
      <c r="X36" s="15"/>
      <c r="Y36" s="15" t="str">
        <f t="shared" si="14"/>
        <v>WO</v>
      </c>
      <c r="Z36" s="15"/>
      <c r="AA36" s="15"/>
      <c r="AB36" s="15"/>
      <c r="AC36" s="15"/>
      <c r="AD36" s="15"/>
      <c r="AE36" s="15"/>
      <c r="AF36" s="15" t="str">
        <f t="shared" si="13"/>
        <v>WO</v>
      </c>
      <c r="AG36" s="15"/>
      <c r="AH36" s="15"/>
      <c r="AI36" s="15"/>
      <c r="AJ36" s="15"/>
      <c r="AK36" s="15"/>
      <c r="AL36" s="15"/>
      <c r="AM36" s="15" t="str">
        <f t="shared" si="15"/>
        <v>WO</v>
      </c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March</v>
      </c>
      <c r="AU36" s="29" t="str">
        <f t="shared" si="11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5</v>
      </c>
      <c r="AZ36" s="30">
        <f t="shared" si="9"/>
        <v>31</v>
      </c>
      <c r="BA36" s="30">
        <f>mar_repo[[#This Row],[Days]]-mar_repo[[#This Row],[Absent]]</f>
        <v>31</v>
      </c>
      <c r="BB36" s="31">
        <v>0</v>
      </c>
      <c r="BC36" s="32">
        <f>mar_repo[[#This Row],[Salary]]/mar_repo[[#This Row],[Days]]</f>
        <v>0</v>
      </c>
      <c r="BD36" s="30">
        <f>mar_repo[[#This Row],[Per Day Salary]]*mar_repo[[#This Row],[Absent]]</f>
        <v>0</v>
      </c>
      <c r="BE36" s="30">
        <f>mar_repo[[#This Row],[Salary]]-mar_repo[[#This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5</v>
      </c>
      <c r="K37" s="15" t="str">
        <f t="shared" si="14"/>
        <v>WO</v>
      </c>
      <c r="L37" s="15"/>
      <c r="M37" s="15"/>
      <c r="N37" s="15"/>
      <c r="O37" s="15"/>
      <c r="P37" s="15"/>
      <c r="Q37" s="15"/>
      <c r="R37" s="15" t="str">
        <f t="shared" si="14"/>
        <v>WO</v>
      </c>
      <c r="S37" s="15"/>
      <c r="T37" s="15"/>
      <c r="U37" s="15"/>
      <c r="V37" s="15"/>
      <c r="W37" s="15"/>
      <c r="X37" s="15"/>
      <c r="Y37" s="15" t="str">
        <f t="shared" si="14"/>
        <v>WO</v>
      </c>
      <c r="Z37" s="15"/>
      <c r="AA37" s="15"/>
      <c r="AB37" s="15"/>
      <c r="AC37" s="15"/>
      <c r="AD37" s="15"/>
      <c r="AE37" s="15"/>
      <c r="AF37" s="15" t="str">
        <f t="shared" si="13"/>
        <v>WO</v>
      </c>
      <c r="AG37" s="15"/>
      <c r="AH37" s="15"/>
      <c r="AI37" s="15"/>
      <c r="AJ37" s="15"/>
      <c r="AK37" s="15"/>
      <c r="AL37" s="15"/>
      <c r="AM37" s="15" t="str">
        <f t="shared" si="15"/>
        <v>WO</v>
      </c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March</v>
      </c>
      <c r="AU37" s="29" t="str">
        <f t="shared" si="11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5</v>
      </c>
      <c r="AZ37" s="30">
        <f t="shared" si="9"/>
        <v>31</v>
      </c>
      <c r="BA37" s="30">
        <f>mar_repo[[#This Row],[Days]]-mar_repo[[#This Row],[Absent]]</f>
        <v>31</v>
      </c>
      <c r="BB37" s="31">
        <v>0</v>
      </c>
      <c r="BC37" s="32">
        <f>mar_repo[[#This Row],[Salary]]/mar_repo[[#This Row],[Days]]</f>
        <v>0</v>
      </c>
      <c r="BD37" s="30">
        <f>mar_repo[[#This Row],[Per Day Salary]]*mar_repo[[#This Row],[Absent]]</f>
        <v>0</v>
      </c>
      <c r="BE37" s="30">
        <f>mar_repo[[#This Row],[Salary]]-mar_repo[[#This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5</v>
      </c>
      <c r="K38" s="21" t="str">
        <f t="shared" si="14"/>
        <v>WO</v>
      </c>
      <c r="L38" s="21"/>
      <c r="M38" s="21"/>
      <c r="N38" s="21"/>
      <c r="O38" s="21"/>
      <c r="P38" s="21"/>
      <c r="Q38" s="21"/>
      <c r="R38" s="21" t="str">
        <f t="shared" si="14"/>
        <v>WO</v>
      </c>
      <c r="S38" s="21"/>
      <c r="T38" s="21"/>
      <c r="U38" s="21"/>
      <c r="V38" s="21"/>
      <c r="W38" s="21"/>
      <c r="X38" s="21"/>
      <c r="Y38" s="21" t="str">
        <f t="shared" si="14"/>
        <v>WO</v>
      </c>
      <c r="Z38" s="21"/>
      <c r="AA38" s="21"/>
      <c r="AB38" s="21"/>
      <c r="AC38" s="21"/>
      <c r="AD38" s="21"/>
      <c r="AE38" s="21"/>
      <c r="AF38" s="21" t="str">
        <f t="shared" si="13"/>
        <v>WO</v>
      </c>
      <c r="AG38" s="21"/>
      <c r="AH38" s="21"/>
      <c r="AI38" s="21"/>
      <c r="AJ38" s="21"/>
      <c r="AK38" s="21"/>
      <c r="AL38" s="21"/>
      <c r="AM38" s="21" t="str">
        <f t="shared" si="15"/>
        <v>WO</v>
      </c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March</v>
      </c>
      <c r="AU38" s="29" t="str">
        <f t="shared" si="11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5</v>
      </c>
      <c r="AZ38" s="30">
        <f t="shared" si="9"/>
        <v>31</v>
      </c>
      <c r="BA38" s="30">
        <f>mar_repo[[#This Row],[Days]]-mar_repo[[#This Row],[Absent]]</f>
        <v>31</v>
      </c>
      <c r="BB38" s="31">
        <v>0</v>
      </c>
      <c r="BC38" s="32">
        <f>mar_repo[[#This Row],[Salary]]/mar_repo[[#This Row],[Days]]</f>
        <v>0</v>
      </c>
      <c r="BD38" s="30">
        <f>mar_repo[[#This Row],[Per Day Salary]]*mar_repo[[#This Row],[Absent]]</f>
        <v>0</v>
      </c>
      <c r="BE38" s="30">
        <f>mar_repo[[#This Row],[Salary]]-mar_repo[[#This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309" priority="12" operator="containsText" text="WO">
      <formula>NOT(ISERROR(SEARCH("WO",H5)))</formula>
    </cfRule>
  </conditionalFormatting>
  <conditionalFormatting sqref="K9">
    <cfRule type="containsText" dxfId="308" priority="5" operator="containsText" text="L">
      <formula>NOT(ISERROR(SEARCH("L",K9)))</formula>
    </cfRule>
    <cfRule type="containsText" dxfId="307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306" priority="9" operator="containsText" text="WO">
      <formula>NOT(ISERROR(SEARCH("WO",A1)))</formula>
    </cfRule>
    <cfRule type="containsText" dxfId="305" priority="10" operator="containsText" text="WO">
      <formula>NOT(ISERROR(SEARCH("WO",A1)))</formula>
    </cfRule>
  </conditionalFormatting>
  <conditionalFormatting sqref="K9:AO38">
    <cfRule type="containsText" dxfId="304" priority="6" operator="containsText" text="L">
      <formula>NOT(ISERROR(SEARCH("L",K9)))</formula>
    </cfRule>
    <cfRule type="containsText" dxfId="303" priority="7" operator="containsText" text="A">
      <formula>NOT(ISERROR(SEARCH("A",K9)))</formula>
    </cfRule>
    <cfRule type="containsText" dxfId="302" priority="8" operator="containsText" text="P">
      <formula>NOT(ISERROR(SEARCH("P",K9)))</formula>
    </cfRule>
  </conditionalFormatting>
  <conditionalFormatting sqref="BB9:BB38">
    <cfRule type="containsText" dxfId="301" priority="3" operator="containsText" text="WO">
      <formula>NOT(ISERROR(SEARCH("WO",BB9)))</formula>
    </cfRule>
    <cfRule type="containsText" dxfId="300" priority="4" operator="containsText" text="WO">
      <formula>NOT(ISERROR(SEARCH("WO",BB9)))</formula>
    </cfRule>
  </conditionalFormatting>
  <conditionalFormatting sqref="I9:I12">
    <cfRule type="containsText" dxfId="299" priority="1" operator="containsText" text="WO">
      <formula>NOT(ISERROR(SEARCH("WO",I9)))</formula>
    </cfRule>
    <cfRule type="containsText" dxfId="298" priority="2" operator="containsText" text="WO">
      <formula>NOT(ISERROR(SEARCH("WO",I9)))</formula>
    </cfRule>
  </conditionalFormatting>
  <dataValidations count="1">
    <dataValidation type="list" allowBlank="1" showInputMessage="1" showErrorMessage="1" sqref="L9:Q38 S9:X38 Z9:AE38 AG9:AL38 AN9:AO38" xr:uid="{00000000-0002-0000-02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200-000002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MAR!AV9:AY9</xm:f>
              <xm:sqref>BF9</xm:sqref>
            </x14:sparkline>
            <x14:sparkline>
              <xm:f>MAR!AV10:AY10</xm:f>
              <xm:sqref>BF10</xm:sqref>
            </x14:sparkline>
            <x14:sparkline>
              <xm:f>MAR!AV11:AY11</xm:f>
              <xm:sqref>BF11</xm:sqref>
            </x14:sparkline>
            <x14:sparkline>
              <xm:f>MAR!AV12:AY12</xm:f>
              <xm:sqref>BF12</xm:sqref>
            </x14:sparkline>
            <x14:sparkline>
              <xm:f>MAR!AV13:AY13</xm:f>
              <xm:sqref>BF13</xm:sqref>
            </x14:sparkline>
            <x14:sparkline>
              <xm:f>MAR!AV14:AY14</xm:f>
              <xm:sqref>BF14</xm:sqref>
            </x14:sparkline>
            <x14:sparkline>
              <xm:f>MAR!AV15:AY15</xm:f>
              <xm:sqref>BF15</xm:sqref>
            </x14:sparkline>
            <x14:sparkline>
              <xm:f>MAR!AV16:AY16</xm:f>
              <xm:sqref>BF16</xm:sqref>
            </x14:sparkline>
            <x14:sparkline>
              <xm:f>MAR!AV17:AY17</xm:f>
              <xm:sqref>BF17</xm:sqref>
            </x14:sparkline>
            <x14:sparkline>
              <xm:f>MAR!AV18:AY18</xm:f>
              <xm:sqref>BF18</xm:sqref>
            </x14:sparkline>
            <x14:sparkline>
              <xm:f>MAR!AV19:AY19</xm:f>
              <xm:sqref>BF19</xm:sqref>
            </x14:sparkline>
            <x14:sparkline>
              <xm:f>MAR!AV20:AY20</xm:f>
              <xm:sqref>BF20</xm:sqref>
            </x14:sparkline>
            <x14:sparkline>
              <xm:f>MAR!AV21:AY21</xm:f>
              <xm:sqref>BF21</xm:sqref>
            </x14:sparkline>
            <x14:sparkline>
              <xm:f>MAR!AV22:AY22</xm:f>
              <xm:sqref>BF22</xm:sqref>
            </x14:sparkline>
            <x14:sparkline>
              <xm:f>MAR!AV23:AY23</xm:f>
              <xm:sqref>BF23</xm:sqref>
            </x14:sparkline>
            <x14:sparkline>
              <xm:f>MAR!AV24:AY24</xm:f>
              <xm:sqref>BF24</xm:sqref>
            </x14:sparkline>
            <x14:sparkline>
              <xm:f>MAR!AV25:AY25</xm:f>
              <xm:sqref>BF25</xm:sqref>
            </x14:sparkline>
            <x14:sparkline>
              <xm:f>MAR!AV26:AY26</xm:f>
              <xm:sqref>BF26</xm:sqref>
            </x14:sparkline>
            <x14:sparkline>
              <xm:f>MAR!AV27:AY27</xm:f>
              <xm:sqref>BF27</xm:sqref>
            </x14:sparkline>
            <x14:sparkline>
              <xm:f>MAR!AV28:AY28</xm:f>
              <xm:sqref>BF28</xm:sqref>
            </x14:sparkline>
            <x14:sparkline>
              <xm:f>MAR!AV29:AY29</xm:f>
              <xm:sqref>BF29</xm:sqref>
            </x14:sparkline>
            <x14:sparkline>
              <xm:f>MAR!AV30:AY30</xm:f>
              <xm:sqref>BF30</xm:sqref>
            </x14:sparkline>
            <x14:sparkline>
              <xm:f>MAR!AV31:AY31</xm:f>
              <xm:sqref>BF31</xm:sqref>
            </x14:sparkline>
            <x14:sparkline>
              <xm:f>MAR!AV32:AY32</xm:f>
              <xm:sqref>BF32</xm:sqref>
            </x14:sparkline>
            <x14:sparkline>
              <xm:f>MAR!AV33:AY33</xm:f>
              <xm:sqref>BF33</xm:sqref>
            </x14:sparkline>
            <x14:sparkline>
              <xm:f>MAR!AV34:AY34</xm:f>
              <xm:sqref>BF34</xm:sqref>
            </x14:sparkline>
            <x14:sparkline>
              <xm:f>MAR!AV35:AY35</xm:f>
              <xm:sqref>BF35</xm:sqref>
            </x14:sparkline>
            <x14:sparkline>
              <xm:f>MAR!AV36:AY36</xm:f>
              <xm:sqref>BF36</xm:sqref>
            </x14:sparkline>
            <x14:sparkline>
              <xm:f>MAR!AV37:AY37</xm:f>
              <xm:sqref>BF37</xm:sqref>
            </x14:sparkline>
            <x14:sparkline>
              <xm:f>MAR!AV38:AY38</xm:f>
              <xm:sqref>BF38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Z163"/>
  <sheetViews>
    <sheetView topLeftCell="F9" zoomScaleNormal="100" workbookViewId="0">
      <selection activeCell="I9" sqref="I9:I12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46113</v>
      </c>
      <c r="I5" s="42">
        <f>(DATEDIF($H$5,$L$5,"D"))+1</f>
        <v>30</v>
      </c>
      <c r="J5" s="42" t="str">
        <f>TEXT(H5,"MMMM")</f>
        <v>April</v>
      </c>
      <c r="K5" s="42" t="s">
        <v>64</v>
      </c>
      <c r="L5" s="46">
        <f>EOMONTH(H5,0)</f>
        <v>46142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Wed</v>
      </c>
      <c r="L7" s="4" t="str">
        <f t="shared" ref="L7:AO7" si="0">TEXT(L8,"DDD")</f>
        <v>Thu</v>
      </c>
      <c r="M7" s="4" t="str">
        <f t="shared" si="0"/>
        <v>Fri</v>
      </c>
      <c r="N7" s="4" t="str">
        <f t="shared" si="0"/>
        <v>Sat</v>
      </c>
      <c r="O7" s="4" t="str">
        <f t="shared" si="0"/>
        <v>Sun</v>
      </c>
      <c r="P7" s="4" t="str">
        <f t="shared" si="0"/>
        <v>Mon</v>
      </c>
      <c r="Q7" s="4" t="str">
        <f t="shared" si="0"/>
        <v>Tue</v>
      </c>
      <c r="R7" s="4" t="str">
        <f t="shared" si="0"/>
        <v>Wed</v>
      </c>
      <c r="S7" s="4" t="str">
        <f t="shared" si="0"/>
        <v>Thu</v>
      </c>
      <c r="T7" s="4" t="str">
        <f t="shared" si="0"/>
        <v>Fri</v>
      </c>
      <c r="U7" s="4" t="str">
        <f t="shared" si="0"/>
        <v>Sat</v>
      </c>
      <c r="V7" s="4" t="str">
        <f t="shared" si="0"/>
        <v>Sun</v>
      </c>
      <c r="W7" s="4" t="str">
        <f t="shared" si="0"/>
        <v>Mon</v>
      </c>
      <c r="X7" s="4" t="str">
        <f t="shared" si="0"/>
        <v>Tue</v>
      </c>
      <c r="Y7" s="4" t="str">
        <f t="shared" si="0"/>
        <v>Wed</v>
      </c>
      <c r="Z7" s="4" t="str">
        <f t="shared" si="0"/>
        <v>Thu</v>
      </c>
      <c r="AA7" s="4" t="str">
        <f t="shared" si="0"/>
        <v>Fri</v>
      </c>
      <c r="AB7" s="4" t="str">
        <f t="shared" si="0"/>
        <v>Sat</v>
      </c>
      <c r="AC7" s="4" t="str">
        <f t="shared" si="0"/>
        <v>Sun</v>
      </c>
      <c r="AD7" s="4" t="str">
        <f t="shared" si="0"/>
        <v>Mon</v>
      </c>
      <c r="AE7" s="4" t="str">
        <f t="shared" si="0"/>
        <v>Tue</v>
      </c>
      <c r="AF7" s="4" t="str">
        <f t="shared" si="0"/>
        <v>Wed</v>
      </c>
      <c r="AG7" s="4" t="str">
        <f t="shared" si="0"/>
        <v>Thu</v>
      </c>
      <c r="AH7" s="4" t="str">
        <f t="shared" si="0"/>
        <v>Fri</v>
      </c>
      <c r="AI7" s="4" t="str">
        <f t="shared" si="0"/>
        <v>Sat</v>
      </c>
      <c r="AJ7" s="4" t="str">
        <f t="shared" si="0"/>
        <v>Sun</v>
      </c>
      <c r="AK7" s="4" t="str">
        <f t="shared" si="0"/>
        <v>Mon</v>
      </c>
      <c r="AL7" s="4" t="str">
        <f t="shared" si="0"/>
        <v>Tue</v>
      </c>
      <c r="AM7" s="4" t="str">
        <f t="shared" si="0"/>
        <v>Wed</v>
      </c>
      <c r="AN7" s="4" t="str">
        <f t="shared" si="0"/>
        <v>Thu</v>
      </c>
      <c r="AO7" s="4" t="str">
        <f t="shared" si="0"/>
        <v>Fri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46113</v>
      </c>
      <c r="L8" s="9">
        <f>IF(K8&lt;$L$5,K8+1,"")</f>
        <v>46114</v>
      </c>
      <c r="M8" s="9">
        <f t="shared" ref="M8:AM8" si="1">IF(L8&lt;$L$5,L8+1,"")</f>
        <v>46115</v>
      </c>
      <c r="N8" s="9">
        <f t="shared" si="1"/>
        <v>46116</v>
      </c>
      <c r="O8" s="9">
        <f t="shared" si="1"/>
        <v>46117</v>
      </c>
      <c r="P8" s="9">
        <f t="shared" si="1"/>
        <v>46118</v>
      </c>
      <c r="Q8" s="9">
        <f t="shared" si="1"/>
        <v>46119</v>
      </c>
      <c r="R8" s="9">
        <f t="shared" si="1"/>
        <v>46120</v>
      </c>
      <c r="S8" s="9">
        <f t="shared" si="1"/>
        <v>46121</v>
      </c>
      <c r="T8" s="9">
        <f t="shared" si="1"/>
        <v>46122</v>
      </c>
      <c r="U8" s="9">
        <f t="shared" si="1"/>
        <v>46123</v>
      </c>
      <c r="V8" s="9">
        <f t="shared" si="1"/>
        <v>46124</v>
      </c>
      <c r="W8" s="9">
        <f t="shared" si="1"/>
        <v>46125</v>
      </c>
      <c r="X8" s="9">
        <f t="shared" si="1"/>
        <v>46126</v>
      </c>
      <c r="Y8" s="9">
        <f t="shared" si="1"/>
        <v>46127</v>
      </c>
      <c r="Z8" s="9">
        <f t="shared" si="1"/>
        <v>46128</v>
      </c>
      <c r="AA8" s="9">
        <f t="shared" si="1"/>
        <v>46129</v>
      </c>
      <c r="AB8" s="9">
        <f t="shared" si="1"/>
        <v>46130</v>
      </c>
      <c r="AC8" s="9">
        <f t="shared" si="1"/>
        <v>46131</v>
      </c>
      <c r="AD8" s="9">
        <f t="shared" si="1"/>
        <v>46132</v>
      </c>
      <c r="AE8" s="9">
        <f t="shared" si="1"/>
        <v>46133</v>
      </c>
      <c r="AF8" s="9">
        <f t="shared" si="1"/>
        <v>46134</v>
      </c>
      <c r="AG8" s="9">
        <f t="shared" si="1"/>
        <v>46135</v>
      </c>
      <c r="AH8" s="9">
        <f t="shared" si="1"/>
        <v>46136</v>
      </c>
      <c r="AI8" s="9">
        <f t="shared" si="1"/>
        <v>46137</v>
      </c>
      <c r="AJ8" s="9">
        <f t="shared" si="1"/>
        <v>46138</v>
      </c>
      <c r="AK8" s="9">
        <f t="shared" si="1"/>
        <v>46139</v>
      </c>
      <c r="AL8" s="9">
        <f t="shared" si="1"/>
        <v>46140</v>
      </c>
      <c r="AM8" s="9">
        <f t="shared" si="1"/>
        <v>46141</v>
      </c>
      <c r="AN8" s="9">
        <f t="shared" ref="AN8:AO8" si="2">IF(AM8&lt;=$L$5,AM8+1,"")</f>
        <v>46142</v>
      </c>
      <c r="AO8" s="10">
        <f t="shared" si="2"/>
        <v>46143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/>
      <c r="O9" s="15" t="str">
        <f t="shared" ref="O9:AJ17" si="3">IF(O$7="Sun","WO","")</f>
        <v>WO</v>
      </c>
      <c r="P9" s="15"/>
      <c r="Q9" s="15"/>
      <c r="R9" s="15"/>
      <c r="S9" s="15"/>
      <c r="T9" s="15"/>
      <c r="U9" s="15"/>
      <c r="V9" s="15" t="str">
        <f t="shared" si="3"/>
        <v>WO</v>
      </c>
      <c r="W9" s="15"/>
      <c r="X9" s="15"/>
      <c r="Y9" s="15"/>
      <c r="Z9" s="15"/>
      <c r="AA9" s="15"/>
      <c r="AB9" s="15"/>
      <c r="AC9" s="15" t="str">
        <f t="shared" si="3"/>
        <v>WO</v>
      </c>
      <c r="AD9" s="15"/>
      <c r="AE9" s="15"/>
      <c r="AF9" s="15"/>
      <c r="AG9" s="15"/>
      <c r="AH9" s="15"/>
      <c r="AI9" s="15"/>
      <c r="AJ9" s="15" t="str">
        <f t="shared" si="3"/>
        <v>WO</v>
      </c>
      <c r="AK9" s="15"/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April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30</v>
      </c>
      <c r="BA9" s="30">
        <f>apr_repo[[#This Row],[Days]]-apr_repo[[#This Row],[Absent]]</f>
        <v>30</v>
      </c>
      <c r="BB9" s="31">
        <v>11000</v>
      </c>
      <c r="BC9" s="32">
        <f>apr_repo[[#This Row],[Salary]]/apr_repo[[#This Row],[Days]]</f>
        <v>366.66666666666669</v>
      </c>
      <c r="BD9" s="30">
        <f>apr_repo[[#This Row],[Per Day Salary]]*apr_repo[[#This Row],[Absent]]</f>
        <v>0</v>
      </c>
      <c r="BE9" s="30">
        <f>apr_repo[[#This Row],[Salary]]-apr_repo[[#This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/>
      <c r="O10" s="15" t="str">
        <f t="shared" si="3"/>
        <v>WO</v>
      </c>
      <c r="P10" s="15"/>
      <c r="Q10" s="15"/>
      <c r="R10" s="15"/>
      <c r="S10" s="15"/>
      <c r="T10" s="15"/>
      <c r="U10" s="15"/>
      <c r="V10" s="15" t="str">
        <f t="shared" si="3"/>
        <v>WO</v>
      </c>
      <c r="W10" s="15"/>
      <c r="X10" s="15"/>
      <c r="Y10" s="15"/>
      <c r="Z10" s="15"/>
      <c r="AA10" s="15"/>
      <c r="AB10" s="15"/>
      <c r="AC10" s="15" t="str">
        <f t="shared" si="3"/>
        <v>WO</v>
      </c>
      <c r="AD10" s="15"/>
      <c r="AE10" s="15"/>
      <c r="AF10" s="15"/>
      <c r="AG10" s="15"/>
      <c r="AH10" s="15"/>
      <c r="AI10" s="15"/>
      <c r="AJ10" s="15" t="str">
        <f t="shared" si="3"/>
        <v>WO</v>
      </c>
      <c r="AK10" s="15"/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April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30</v>
      </c>
      <c r="BA10" s="30">
        <f>apr_repo[[#This Row],[Days]]-apr_repo[[#This Row],[Absent]]</f>
        <v>30</v>
      </c>
      <c r="BB10" s="31">
        <v>11000</v>
      </c>
      <c r="BC10" s="32">
        <f>apr_repo[[#This Row],[Salary]]/apr_repo[[#This Row],[Days]]</f>
        <v>366.66666666666669</v>
      </c>
      <c r="BD10" s="30">
        <f>apr_repo[[#This Row],[Per Day Salary]]*apr_repo[[#This Row],[Absent]]</f>
        <v>0</v>
      </c>
      <c r="BE10" s="30">
        <f>apr_repo[[#This Row],[Salary]]-apr_repo[[#This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/>
      <c r="O11" s="15" t="str">
        <f t="shared" si="3"/>
        <v>WO</v>
      </c>
      <c r="P11" s="15"/>
      <c r="Q11" s="15"/>
      <c r="R11" s="15"/>
      <c r="S11" s="15"/>
      <c r="T11" s="15"/>
      <c r="U11" s="15"/>
      <c r="V11" s="15" t="str">
        <f t="shared" si="3"/>
        <v>WO</v>
      </c>
      <c r="W11" s="15"/>
      <c r="X11" s="15"/>
      <c r="Y11" s="15"/>
      <c r="Z11" s="15"/>
      <c r="AA11" s="15"/>
      <c r="AB11" s="15"/>
      <c r="AC11" s="15" t="str">
        <f t="shared" si="3"/>
        <v>WO</v>
      </c>
      <c r="AD11" s="15"/>
      <c r="AE11" s="15"/>
      <c r="AF11" s="15"/>
      <c r="AG11" s="15"/>
      <c r="AH11" s="15"/>
      <c r="AI11" s="15"/>
      <c r="AJ11" s="15" t="str">
        <f t="shared" si="3"/>
        <v>WO</v>
      </c>
      <c r="AK11" s="15"/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April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30</v>
      </c>
      <c r="BA11" s="30">
        <f>apr_repo[[#This Row],[Days]]-apr_repo[[#This Row],[Absent]]</f>
        <v>30</v>
      </c>
      <c r="BB11" s="31">
        <v>11000</v>
      </c>
      <c r="BC11" s="32">
        <f>apr_repo[[#This Row],[Salary]]/apr_repo[[#This Row],[Days]]</f>
        <v>366.66666666666669</v>
      </c>
      <c r="BD11" s="30">
        <f>apr_repo[[#This Row],[Per Day Salary]]*apr_repo[[#This Row],[Absent]]</f>
        <v>0</v>
      </c>
      <c r="BE11" s="30">
        <f>apr_repo[[#This Row],[Salary]]-apr_repo[[#This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/>
      <c r="O12" s="15" t="str">
        <f t="shared" si="3"/>
        <v>WO</v>
      </c>
      <c r="P12" s="15"/>
      <c r="Q12" s="15"/>
      <c r="R12" s="15"/>
      <c r="S12" s="15"/>
      <c r="T12" s="15"/>
      <c r="U12" s="15"/>
      <c r="V12" s="15" t="str">
        <f t="shared" si="3"/>
        <v>WO</v>
      </c>
      <c r="W12" s="15"/>
      <c r="X12" s="15"/>
      <c r="Y12" s="15"/>
      <c r="Z12" s="15"/>
      <c r="AA12" s="15"/>
      <c r="AB12" s="15"/>
      <c r="AC12" s="15" t="str">
        <f t="shared" si="3"/>
        <v>WO</v>
      </c>
      <c r="AD12" s="15"/>
      <c r="AE12" s="15"/>
      <c r="AF12" s="15"/>
      <c r="AG12" s="15"/>
      <c r="AH12" s="15"/>
      <c r="AI12" s="15"/>
      <c r="AJ12" s="15" t="str">
        <f t="shared" si="3"/>
        <v>WO</v>
      </c>
      <c r="AK12" s="15"/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April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30</v>
      </c>
      <c r="BA12" s="30">
        <f>apr_repo[[#This Row],[Days]]-apr_repo[[#This Row],[Absent]]</f>
        <v>30</v>
      </c>
      <c r="BB12" s="31">
        <v>11000</v>
      </c>
      <c r="BC12" s="32">
        <f>apr_repo[[#This Row],[Salary]]/apr_repo[[#This Row],[Days]]</f>
        <v>366.66666666666669</v>
      </c>
      <c r="BD12" s="30">
        <f>apr_repo[[#This Row],[Per Day Salary]]*apr_repo[[#This Row],[Absent]]</f>
        <v>0</v>
      </c>
      <c r="BE12" s="30">
        <f>apr_repo[[#This Row],[Salary]]-apr_repo[[#This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/>
      <c r="O13" s="15" t="str">
        <f t="shared" si="3"/>
        <v>WO</v>
      </c>
      <c r="P13" s="15"/>
      <c r="Q13" s="15"/>
      <c r="R13" s="15"/>
      <c r="S13" s="15"/>
      <c r="T13" s="15"/>
      <c r="U13" s="15"/>
      <c r="V13" s="15" t="str">
        <f t="shared" si="3"/>
        <v>WO</v>
      </c>
      <c r="W13" s="15"/>
      <c r="X13" s="15"/>
      <c r="Y13" s="15"/>
      <c r="Z13" s="15"/>
      <c r="AA13" s="15"/>
      <c r="AB13" s="15"/>
      <c r="AC13" s="15" t="str">
        <f t="shared" si="3"/>
        <v>WO</v>
      </c>
      <c r="AD13" s="15"/>
      <c r="AE13" s="15"/>
      <c r="AF13" s="15"/>
      <c r="AG13" s="15"/>
      <c r="AH13" s="15"/>
      <c r="AI13" s="15"/>
      <c r="AJ13" s="15" t="str">
        <f t="shared" si="3"/>
        <v>WO</v>
      </c>
      <c r="AK13" s="15"/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April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30</v>
      </c>
      <c r="BA13" s="30">
        <f>apr_repo[[#This Row],[Days]]-apr_repo[[#This Row],[Absent]]</f>
        <v>30</v>
      </c>
      <c r="BB13" s="31">
        <v>0</v>
      </c>
      <c r="BC13" s="32">
        <f>apr_repo[[#This Row],[Salary]]/apr_repo[[#This Row],[Days]]</f>
        <v>0</v>
      </c>
      <c r="BD13" s="30">
        <f>apr_repo[[#This Row],[Per Day Salary]]*apr_repo[[#This Row],[Absent]]</f>
        <v>0</v>
      </c>
      <c r="BE13" s="30">
        <f>apr_repo[[#This Row],[Salary]]-apr_repo[[#This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/>
      <c r="O14" s="15" t="str">
        <f t="shared" si="3"/>
        <v>WO</v>
      </c>
      <c r="P14" s="15"/>
      <c r="Q14" s="15"/>
      <c r="R14" s="15"/>
      <c r="S14" s="15"/>
      <c r="T14" s="15"/>
      <c r="U14" s="15"/>
      <c r="V14" s="15" t="str">
        <f t="shared" si="3"/>
        <v>WO</v>
      </c>
      <c r="W14" s="15"/>
      <c r="X14" s="15"/>
      <c r="Y14" s="15"/>
      <c r="Z14" s="15"/>
      <c r="AA14" s="15"/>
      <c r="AB14" s="15"/>
      <c r="AC14" s="15" t="str">
        <f t="shared" si="3"/>
        <v>WO</v>
      </c>
      <c r="AD14" s="15"/>
      <c r="AE14" s="15"/>
      <c r="AF14" s="15"/>
      <c r="AG14" s="15"/>
      <c r="AH14" s="15"/>
      <c r="AI14" s="15"/>
      <c r="AJ14" s="15" t="str">
        <f t="shared" si="3"/>
        <v>WO</v>
      </c>
      <c r="AK14" s="15"/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April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30</v>
      </c>
      <c r="BA14" s="30">
        <f>apr_repo[[#This Row],[Days]]-apr_repo[[#This Row],[Absent]]</f>
        <v>30</v>
      </c>
      <c r="BB14" s="31">
        <v>0</v>
      </c>
      <c r="BC14" s="32">
        <f>apr_repo[[#This Row],[Salary]]/apr_repo[[#This Row],[Days]]</f>
        <v>0</v>
      </c>
      <c r="BD14" s="30">
        <f>apr_repo[[#This Row],[Per Day Salary]]*apr_repo[[#This Row],[Absent]]</f>
        <v>0</v>
      </c>
      <c r="BE14" s="30">
        <f>apr_repo[[#This Row],[Salary]]-apr_repo[[#This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/>
      <c r="O15" s="15" t="str">
        <f t="shared" si="3"/>
        <v>WO</v>
      </c>
      <c r="P15" s="15"/>
      <c r="Q15" s="15"/>
      <c r="R15" s="15"/>
      <c r="S15" s="15"/>
      <c r="T15" s="15"/>
      <c r="U15" s="15"/>
      <c r="V15" s="15" t="str">
        <f t="shared" si="3"/>
        <v>WO</v>
      </c>
      <c r="W15" s="15"/>
      <c r="X15" s="15"/>
      <c r="Y15" s="15"/>
      <c r="Z15" s="15"/>
      <c r="AA15" s="15"/>
      <c r="AB15" s="15"/>
      <c r="AC15" s="15" t="str">
        <f t="shared" si="3"/>
        <v>WO</v>
      </c>
      <c r="AD15" s="15"/>
      <c r="AE15" s="15"/>
      <c r="AF15" s="15"/>
      <c r="AG15" s="15"/>
      <c r="AH15" s="15"/>
      <c r="AI15" s="15"/>
      <c r="AJ15" s="15" t="str">
        <f t="shared" si="3"/>
        <v>WO</v>
      </c>
      <c r="AK15" s="15"/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April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30</v>
      </c>
      <c r="BA15" s="30">
        <f>apr_repo[[#This Row],[Days]]-apr_repo[[#This Row],[Absent]]</f>
        <v>30</v>
      </c>
      <c r="BB15" s="31">
        <v>0</v>
      </c>
      <c r="BC15" s="32">
        <f>apr_repo[[#This Row],[Salary]]/apr_repo[[#This Row],[Days]]</f>
        <v>0</v>
      </c>
      <c r="BD15" s="30">
        <f>apr_repo[[#This Row],[Per Day Salary]]*apr_repo[[#This Row],[Absent]]</f>
        <v>0</v>
      </c>
      <c r="BE15" s="30">
        <f>apr_repo[[#This Row],[Salary]]-apr_repo[[#This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/>
      <c r="O16" s="15" t="str">
        <f t="shared" si="3"/>
        <v>WO</v>
      </c>
      <c r="P16" s="15"/>
      <c r="Q16" s="15"/>
      <c r="R16" s="15"/>
      <c r="S16" s="15"/>
      <c r="T16" s="15"/>
      <c r="U16" s="15"/>
      <c r="V16" s="15" t="str">
        <f t="shared" si="3"/>
        <v>WO</v>
      </c>
      <c r="W16" s="15"/>
      <c r="X16" s="15"/>
      <c r="Y16" s="15"/>
      <c r="Z16" s="15"/>
      <c r="AA16" s="15"/>
      <c r="AB16" s="15"/>
      <c r="AC16" s="15" t="str">
        <f t="shared" si="3"/>
        <v>WO</v>
      </c>
      <c r="AD16" s="15"/>
      <c r="AE16" s="15"/>
      <c r="AF16" s="15"/>
      <c r="AG16" s="15"/>
      <c r="AH16" s="15"/>
      <c r="AI16" s="15"/>
      <c r="AJ16" s="15" t="str">
        <f t="shared" si="3"/>
        <v>WO</v>
      </c>
      <c r="AK16" s="15"/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April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30</v>
      </c>
      <c r="BA16" s="30">
        <f>apr_repo[[#This Row],[Days]]-apr_repo[[#This Row],[Absent]]</f>
        <v>30</v>
      </c>
      <c r="BB16" s="31">
        <v>0</v>
      </c>
      <c r="BC16" s="32">
        <f>apr_repo[[#This Row],[Salary]]/apr_repo[[#This Row],[Days]]</f>
        <v>0</v>
      </c>
      <c r="BD16" s="30">
        <f>apr_repo[[#This Row],[Per Day Salary]]*apr_repo[[#This Row],[Absent]]</f>
        <v>0</v>
      </c>
      <c r="BE16" s="30">
        <f>apr_repo[[#This Row],[Salary]]-apr_repo[[#This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/>
      <c r="O17" s="15" t="str">
        <f t="shared" si="3"/>
        <v>WO</v>
      </c>
      <c r="P17" s="15"/>
      <c r="Q17" s="15"/>
      <c r="R17" s="15"/>
      <c r="S17" s="15"/>
      <c r="T17" s="15"/>
      <c r="U17" s="15"/>
      <c r="V17" s="15" t="str">
        <f t="shared" si="3"/>
        <v>WO</v>
      </c>
      <c r="W17" s="15"/>
      <c r="X17" s="15"/>
      <c r="Y17" s="15"/>
      <c r="Z17" s="15"/>
      <c r="AA17" s="15"/>
      <c r="AB17" s="15"/>
      <c r="AC17" s="15" t="str">
        <f t="shared" ref="AC17:AJ34" si="11">IF(AC$7="Sun","WO","")</f>
        <v>WO</v>
      </c>
      <c r="AD17" s="15"/>
      <c r="AE17" s="15"/>
      <c r="AF17" s="15"/>
      <c r="AG17" s="15"/>
      <c r="AH17" s="15"/>
      <c r="AI17" s="15"/>
      <c r="AJ17" s="15" t="str">
        <f t="shared" si="11"/>
        <v>WO</v>
      </c>
      <c r="AK17" s="15"/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April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30</v>
      </c>
      <c r="BA17" s="30">
        <f>apr_repo[[#This Row],[Days]]-apr_repo[[#This Row],[Absent]]</f>
        <v>30</v>
      </c>
      <c r="BB17" s="31">
        <v>0</v>
      </c>
      <c r="BC17" s="32">
        <f>apr_repo[[#This Row],[Salary]]/apr_repo[[#This Row],[Days]]</f>
        <v>0</v>
      </c>
      <c r="BD17" s="30">
        <f>apr_repo[[#This Row],[Per Day Salary]]*apr_repo[[#This Row],[Absent]]</f>
        <v>0</v>
      </c>
      <c r="BE17" s="30">
        <f>apr_repo[[#This Row],[Salary]]-apr_repo[[#This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/>
      <c r="O18" s="15" t="str">
        <f t="shared" ref="O18:V33" si="12">IF(O$7="Sun","WO","")</f>
        <v>WO</v>
      </c>
      <c r="P18" s="15"/>
      <c r="Q18" s="15"/>
      <c r="R18" s="15"/>
      <c r="S18" s="15"/>
      <c r="T18" s="15"/>
      <c r="U18" s="15"/>
      <c r="V18" s="15" t="str">
        <f t="shared" si="12"/>
        <v>WO</v>
      </c>
      <c r="W18" s="15"/>
      <c r="X18" s="15"/>
      <c r="Y18" s="15"/>
      <c r="Z18" s="15"/>
      <c r="AA18" s="15"/>
      <c r="AB18" s="15"/>
      <c r="AC18" s="15" t="str">
        <f t="shared" si="11"/>
        <v>WO</v>
      </c>
      <c r="AD18" s="15"/>
      <c r="AE18" s="15"/>
      <c r="AF18" s="15"/>
      <c r="AG18" s="15"/>
      <c r="AH18" s="15"/>
      <c r="AI18" s="15"/>
      <c r="AJ18" s="15" t="str">
        <f t="shared" si="11"/>
        <v>WO</v>
      </c>
      <c r="AK18" s="15"/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April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30</v>
      </c>
      <c r="BA18" s="30">
        <f>apr_repo[[#This Row],[Days]]-apr_repo[[#This Row],[Absent]]</f>
        <v>30</v>
      </c>
      <c r="BB18" s="31">
        <v>0</v>
      </c>
      <c r="BC18" s="32">
        <f>apr_repo[[#This Row],[Salary]]/apr_repo[[#This Row],[Days]]</f>
        <v>0</v>
      </c>
      <c r="BD18" s="30">
        <f>apr_repo[[#This Row],[Per Day Salary]]*apr_repo[[#This Row],[Absent]]</f>
        <v>0</v>
      </c>
      <c r="BE18" s="30">
        <f>apr_repo[[#This Row],[Salary]]-apr_repo[[#This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/>
      <c r="O19" s="15" t="str">
        <f t="shared" si="12"/>
        <v>WO</v>
      </c>
      <c r="P19" s="15"/>
      <c r="Q19" s="15"/>
      <c r="R19" s="15"/>
      <c r="S19" s="15"/>
      <c r="T19" s="15"/>
      <c r="U19" s="15"/>
      <c r="V19" s="15" t="str">
        <f t="shared" si="12"/>
        <v>WO</v>
      </c>
      <c r="W19" s="15"/>
      <c r="X19" s="15"/>
      <c r="Y19" s="15"/>
      <c r="Z19" s="15"/>
      <c r="AA19" s="15"/>
      <c r="AB19" s="15"/>
      <c r="AC19" s="15" t="str">
        <f t="shared" si="11"/>
        <v>WO</v>
      </c>
      <c r="AD19" s="15"/>
      <c r="AE19" s="15"/>
      <c r="AF19" s="15"/>
      <c r="AG19" s="15"/>
      <c r="AH19" s="15"/>
      <c r="AI19" s="15"/>
      <c r="AJ19" s="15" t="str">
        <f t="shared" si="11"/>
        <v>WO</v>
      </c>
      <c r="AK19" s="15"/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April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30</v>
      </c>
      <c r="BA19" s="30">
        <f>apr_repo[[#This Row],[Days]]-apr_repo[[#This Row],[Absent]]</f>
        <v>30</v>
      </c>
      <c r="BB19" s="31">
        <v>0</v>
      </c>
      <c r="BC19" s="32">
        <f>apr_repo[[#This Row],[Salary]]/apr_repo[[#This Row],[Days]]</f>
        <v>0</v>
      </c>
      <c r="BD19" s="30">
        <f>apr_repo[[#This Row],[Per Day Salary]]*apr_repo[[#This Row],[Absent]]</f>
        <v>0</v>
      </c>
      <c r="BE19" s="30">
        <f>apr_repo[[#This Row],[Salary]]-apr_repo[[#This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/>
      <c r="O20" s="15" t="str">
        <f t="shared" si="12"/>
        <v>WO</v>
      </c>
      <c r="P20" s="15"/>
      <c r="Q20" s="15"/>
      <c r="R20" s="15"/>
      <c r="S20" s="15"/>
      <c r="T20" s="15"/>
      <c r="U20" s="15"/>
      <c r="V20" s="15" t="str">
        <f t="shared" si="12"/>
        <v>WO</v>
      </c>
      <c r="W20" s="15"/>
      <c r="X20" s="15"/>
      <c r="Y20" s="15"/>
      <c r="Z20" s="15"/>
      <c r="AA20" s="15"/>
      <c r="AB20" s="15"/>
      <c r="AC20" s="15" t="str">
        <f t="shared" si="11"/>
        <v>WO</v>
      </c>
      <c r="AD20" s="15"/>
      <c r="AE20" s="15"/>
      <c r="AF20" s="15"/>
      <c r="AG20" s="15"/>
      <c r="AH20" s="15"/>
      <c r="AI20" s="15"/>
      <c r="AJ20" s="15" t="str">
        <f t="shared" si="11"/>
        <v>WO</v>
      </c>
      <c r="AK20" s="15"/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April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30</v>
      </c>
      <c r="BA20" s="30">
        <f>apr_repo[[#This Row],[Days]]-apr_repo[[#This Row],[Absent]]</f>
        <v>30</v>
      </c>
      <c r="BB20" s="31">
        <v>0</v>
      </c>
      <c r="BC20" s="32">
        <f>apr_repo[[#This Row],[Salary]]/apr_repo[[#This Row],[Days]]</f>
        <v>0</v>
      </c>
      <c r="BD20" s="30">
        <f>apr_repo[[#This Row],[Per Day Salary]]*apr_repo[[#This Row],[Absent]]</f>
        <v>0</v>
      </c>
      <c r="BE20" s="30">
        <f>apr_repo[[#This Row],[Salary]]-apr_repo[[#This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/>
      <c r="O21" s="15" t="str">
        <f t="shared" si="12"/>
        <v>WO</v>
      </c>
      <c r="P21" s="15"/>
      <c r="Q21" s="15"/>
      <c r="R21" s="15"/>
      <c r="S21" s="15"/>
      <c r="T21" s="15"/>
      <c r="U21" s="15"/>
      <c r="V21" s="15" t="str">
        <f t="shared" si="12"/>
        <v>WO</v>
      </c>
      <c r="W21" s="15"/>
      <c r="X21" s="15"/>
      <c r="Y21" s="15"/>
      <c r="Z21" s="15"/>
      <c r="AA21" s="15"/>
      <c r="AB21" s="15"/>
      <c r="AC21" s="15" t="str">
        <f t="shared" si="11"/>
        <v>WO</v>
      </c>
      <c r="AD21" s="15"/>
      <c r="AE21" s="15"/>
      <c r="AF21" s="15"/>
      <c r="AG21" s="15"/>
      <c r="AH21" s="15"/>
      <c r="AI21" s="15"/>
      <c r="AJ21" s="15" t="str">
        <f t="shared" si="11"/>
        <v>WO</v>
      </c>
      <c r="AK21" s="15"/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April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30</v>
      </c>
      <c r="BA21" s="30">
        <f>apr_repo[[#This Row],[Days]]-apr_repo[[#This Row],[Absent]]</f>
        <v>30</v>
      </c>
      <c r="BB21" s="31">
        <v>0</v>
      </c>
      <c r="BC21" s="32">
        <f>apr_repo[[#This Row],[Salary]]/apr_repo[[#This Row],[Days]]</f>
        <v>0</v>
      </c>
      <c r="BD21" s="30">
        <f>apr_repo[[#This Row],[Per Day Salary]]*apr_repo[[#This Row],[Absent]]</f>
        <v>0</v>
      </c>
      <c r="BE21" s="30">
        <f>apr_repo[[#This Row],[Salary]]-apr_repo[[#This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/>
      <c r="O22" s="15" t="str">
        <f t="shared" si="12"/>
        <v>WO</v>
      </c>
      <c r="P22" s="15"/>
      <c r="Q22" s="15"/>
      <c r="R22" s="15"/>
      <c r="S22" s="15"/>
      <c r="T22" s="15"/>
      <c r="U22" s="15"/>
      <c r="V22" s="15" t="str">
        <f t="shared" si="12"/>
        <v>WO</v>
      </c>
      <c r="W22" s="15"/>
      <c r="X22" s="15"/>
      <c r="Y22" s="15"/>
      <c r="Z22" s="15"/>
      <c r="AA22" s="15"/>
      <c r="AB22" s="15"/>
      <c r="AC22" s="15" t="str">
        <f t="shared" si="11"/>
        <v>WO</v>
      </c>
      <c r="AD22" s="15"/>
      <c r="AE22" s="15"/>
      <c r="AF22" s="15"/>
      <c r="AG22" s="15"/>
      <c r="AH22" s="15"/>
      <c r="AI22" s="15"/>
      <c r="AJ22" s="15" t="str">
        <f t="shared" si="11"/>
        <v>WO</v>
      </c>
      <c r="AK22" s="15"/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April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30</v>
      </c>
      <c r="BA22" s="30">
        <f>apr_repo[[#This Row],[Days]]-apr_repo[[#This Row],[Absent]]</f>
        <v>30</v>
      </c>
      <c r="BB22" s="31">
        <v>0</v>
      </c>
      <c r="BC22" s="32">
        <f>apr_repo[[#This Row],[Salary]]/apr_repo[[#This Row],[Days]]</f>
        <v>0</v>
      </c>
      <c r="BD22" s="30">
        <f>apr_repo[[#This Row],[Per Day Salary]]*apr_repo[[#This Row],[Absent]]</f>
        <v>0</v>
      </c>
      <c r="BE22" s="30">
        <f>apr_repo[[#This Row],[Salary]]-apr_repo[[#This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/>
      <c r="O23" s="15" t="str">
        <f t="shared" si="12"/>
        <v>WO</v>
      </c>
      <c r="P23" s="15"/>
      <c r="Q23" s="15"/>
      <c r="R23" s="15"/>
      <c r="S23" s="15"/>
      <c r="T23" s="15"/>
      <c r="U23" s="15"/>
      <c r="V23" s="15" t="str">
        <f t="shared" si="12"/>
        <v>WO</v>
      </c>
      <c r="W23" s="15"/>
      <c r="X23" s="15"/>
      <c r="Y23" s="15"/>
      <c r="Z23" s="15"/>
      <c r="AA23" s="15"/>
      <c r="AB23" s="15"/>
      <c r="AC23" s="15" t="str">
        <f t="shared" si="11"/>
        <v>WO</v>
      </c>
      <c r="AD23" s="15"/>
      <c r="AE23" s="15"/>
      <c r="AF23" s="15"/>
      <c r="AG23" s="15"/>
      <c r="AH23" s="15"/>
      <c r="AI23" s="15"/>
      <c r="AJ23" s="15" t="str">
        <f t="shared" si="11"/>
        <v>WO</v>
      </c>
      <c r="AK23" s="15"/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April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30</v>
      </c>
      <c r="BA23" s="30">
        <f>apr_repo[[#This Row],[Days]]-apr_repo[[#This Row],[Absent]]</f>
        <v>30</v>
      </c>
      <c r="BB23" s="31">
        <v>0</v>
      </c>
      <c r="BC23" s="32">
        <f>apr_repo[[#This Row],[Salary]]/apr_repo[[#This Row],[Days]]</f>
        <v>0</v>
      </c>
      <c r="BD23" s="30">
        <f>apr_repo[[#This Row],[Per Day Salary]]*apr_repo[[#This Row],[Absent]]</f>
        <v>0</v>
      </c>
      <c r="BE23" s="30">
        <f>apr_repo[[#This Row],[Salary]]-apr_repo[[#This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/>
      <c r="O24" s="15" t="str">
        <f t="shared" si="12"/>
        <v>WO</v>
      </c>
      <c r="P24" s="15"/>
      <c r="Q24" s="15"/>
      <c r="R24" s="15"/>
      <c r="S24" s="15"/>
      <c r="T24" s="15"/>
      <c r="U24" s="15"/>
      <c r="V24" s="15" t="str">
        <f t="shared" si="12"/>
        <v>WO</v>
      </c>
      <c r="W24" s="15"/>
      <c r="X24" s="15"/>
      <c r="Y24" s="15"/>
      <c r="Z24" s="15"/>
      <c r="AA24" s="15"/>
      <c r="AB24" s="15"/>
      <c r="AC24" s="15" t="str">
        <f t="shared" si="11"/>
        <v>WO</v>
      </c>
      <c r="AD24" s="15"/>
      <c r="AE24" s="15"/>
      <c r="AF24" s="15"/>
      <c r="AG24" s="15"/>
      <c r="AH24" s="15"/>
      <c r="AI24" s="15"/>
      <c r="AJ24" s="15" t="str">
        <f t="shared" si="11"/>
        <v>WO</v>
      </c>
      <c r="AK24" s="15"/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April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30</v>
      </c>
      <c r="BA24" s="30">
        <f>apr_repo[[#This Row],[Days]]-apr_repo[[#This Row],[Absent]]</f>
        <v>30</v>
      </c>
      <c r="BB24" s="31">
        <v>0</v>
      </c>
      <c r="BC24" s="32">
        <f>apr_repo[[#This Row],[Salary]]/apr_repo[[#This Row],[Days]]</f>
        <v>0</v>
      </c>
      <c r="BD24" s="30">
        <f>apr_repo[[#This Row],[Per Day Salary]]*apr_repo[[#This Row],[Absent]]</f>
        <v>0</v>
      </c>
      <c r="BE24" s="30">
        <f>apr_repo[[#This Row],[Salary]]-apr_repo[[#This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/>
      <c r="O25" s="15" t="str">
        <f t="shared" si="12"/>
        <v>WO</v>
      </c>
      <c r="P25" s="15"/>
      <c r="Q25" s="15"/>
      <c r="R25" s="15"/>
      <c r="S25" s="15"/>
      <c r="T25" s="15"/>
      <c r="U25" s="15"/>
      <c r="V25" s="15" t="str">
        <f t="shared" si="12"/>
        <v>WO</v>
      </c>
      <c r="W25" s="15"/>
      <c r="X25" s="15"/>
      <c r="Y25" s="15"/>
      <c r="Z25" s="15"/>
      <c r="AA25" s="15"/>
      <c r="AB25" s="15"/>
      <c r="AC25" s="15" t="str">
        <f t="shared" si="11"/>
        <v>WO</v>
      </c>
      <c r="AD25" s="15"/>
      <c r="AE25" s="15"/>
      <c r="AF25" s="15"/>
      <c r="AG25" s="15"/>
      <c r="AH25" s="15"/>
      <c r="AI25" s="15"/>
      <c r="AJ25" s="15" t="str">
        <f t="shared" si="11"/>
        <v>WO</v>
      </c>
      <c r="AK25" s="15"/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April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30</v>
      </c>
      <c r="BA25" s="30">
        <f>apr_repo[[#This Row],[Days]]-apr_repo[[#This Row],[Absent]]</f>
        <v>30</v>
      </c>
      <c r="BB25" s="31">
        <v>0</v>
      </c>
      <c r="BC25" s="32">
        <f>apr_repo[[#This Row],[Salary]]/apr_repo[[#This Row],[Days]]</f>
        <v>0</v>
      </c>
      <c r="BD25" s="30">
        <f>apr_repo[[#This Row],[Per Day Salary]]*apr_repo[[#This Row],[Absent]]</f>
        <v>0</v>
      </c>
      <c r="BE25" s="30">
        <f>apr_repo[[#This Row],[Salary]]-apr_repo[[#This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/>
      <c r="O26" s="15" t="str">
        <f t="shared" si="12"/>
        <v>WO</v>
      </c>
      <c r="P26" s="15"/>
      <c r="Q26" s="15"/>
      <c r="R26" s="15"/>
      <c r="S26" s="15"/>
      <c r="T26" s="15"/>
      <c r="U26" s="15"/>
      <c r="V26" s="15" t="str">
        <f t="shared" si="12"/>
        <v>WO</v>
      </c>
      <c r="W26" s="15"/>
      <c r="X26" s="15"/>
      <c r="Y26" s="15"/>
      <c r="Z26" s="15"/>
      <c r="AA26" s="15"/>
      <c r="AB26" s="15"/>
      <c r="AC26" s="15" t="str">
        <f t="shared" si="11"/>
        <v>WO</v>
      </c>
      <c r="AD26" s="15"/>
      <c r="AE26" s="15"/>
      <c r="AF26" s="15"/>
      <c r="AG26" s="15"/>
      <c r="AH26" s="15"/>
      <c r="AI26" s="15"/>
      <c r="AJ26" s="15" t="str">
        <f t="shared" si="11"/>
        <v>WO</v>
      </c>
      <c r="AK26" s="15"/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April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30</v>
      </c>
      <c r="BA26" s="30">
        <f>apr_repo[[#This Row],[Days]]-apr_repo[[#This Row],[Absent]]</f>
        <v>30</v>
      </c>
      <c r="BB26" s="31">
        <v>0</v>
      </c>
      <c r="BC26" s="32">
        <f>apr_repo[[#This Row],[Salary]]/apr_repo[[#This Row],[Days]]</f>
        <v>0</v>
      </c>
      <c r="BD26" s="30">
        <f>apr_repo[[#This Row],[Per Day Salary]]*apr_repo[[#This Row],[Absent]]</f>
        <v>0</v>
      </c>
      <c r="BE26" s="30">
        <f>apr_repo[[#This Row],[Salary]]-apr_repo[[#This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/>
      <c r="O27" s="15" t="str">
        <f t="shared" si="12"/>
        <v>WO</v>
      </c>
      <c r="P27" s="15"/>
      <c r="Q27" s="15"/>
      <c r="R27" s="15"/>
      <c r="S27" s="15"/>
      <c r="T27" s="15"/>
      <c r="U27" s="15"/>
      <c r="V27" s="15" t="str">
        <f t="shared" si="12"/>
        <v>WO</v>
      </c>
      <c r="W27" s="15"/>
      <c r="X27" s="15"/>
      <c r="Y27" s="15"/>
      <c r="Z27" s="15"/>
      <c r="AA27" s="15"/>
      <c r="AB27" s="15"/>
      <c r="AC27" s="15" t="str">
        <f t="shared" si="11"/>
        <v>WO</v>
      </c>
      <c r="AD27" s="15"/>
      <c r="AE27" s="15"/>
      <c r="AF27" s="15"/>
      <c r="AG27" s="15"/>
      <c r="AH27" s="15"/>
      <c r="AI27" s="15"/>
      <c r="AJ27" s="15" t="str">
        <f t="shared" si="11"/>
        <v>WO</v>
      </c>
      <c r="AK27" s="15"/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April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30</v>
      </c>
      <c r="BA27" s="30">
        <f>apr_repo[[#This Row],[Days]]-apr_repo[[#This Row],[Absent]]</f>
        <v>30</v>
      </c>
      <c r="BB27" s="31">
        <v>0</v>
      </c>
      <c r="BC27" s="32">
        <f>apr_repo[[#This Row],[Salary]]/apr_repo[[#This Row],[Days]]</f>
        <v>0</v>
      </c>
      <c r="BD27" s="30">
        <f>apr_repo[[#This Row],[Per Day Salary]]*apr_repo[[#This Row],[Absent]]</f>
        <v>0</v>
      </c>
      <c r="BE27" s="30">
        <f>apr_repo[[#This Row],[Salary]]-apr_repo[[#This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/>
      <c r="O28" s="15" t="str">
        <f t="shared" si="12"/>
        <v>WO</v>
      </c>
      <c r="P28" s="15"/>
      <c r="Q28" s="15"/>
      <c r="R28" s="15"/>
      <c r="S28" s="15"/>
      <c r="T28" s="15"/>
      <c r="U28" s="15"/>
      <c r="V28" s="15" t="str">
        <f t="shared" si="12"/>
        <v>WO</v>
      </c>
      <c r="W28" s="15"/>
      <c r="X28" s="15"/>
      <c r="Y28" s="15"/>
      <c r="Z28" s="15"/>
      <c r="AA28" s="15"/>
      <c r="AB28" s="15"/>
      <c r="AC28" s="15" t="str">
        <f t="shared" si="11"/>
        <v>WO</v>
      </c>
      <c r="AD28" s="15"/>
      <c r="AE28" s="15"/>
      <c r="AF28" s="15"/>
      <c r="AG28" s="15"/>
      <c r="AH28" s="15"/>
      <c r="AI28" s="15"/>
      <c r="AJ28" s="15" t="str">
        <f t="shared" si="11"/>
        <v>WO</v>
      </c>
      <c r="AK28" s="15"/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April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30</v>
      </c>
      <c r="BA28" s="30">
        <f>apr_repo[[#This Row],[Days]]-apr_repo[[#This Row],[Absent]]</f>
        <v>30</v>
      </c>
      <c r="BB28" s="31">
        <v>0</v>
      </c>
      <c r="BC28" s="32">
        <f>apr_repo[[#This Row],[Salary]]/apr_repo[[#This Row],[Days]]</f>
        <v>0</v>
      </c>
      <c r="BD28" s="30">
        <f>apr_repo[[#This Row],[Per Day Salary]]*apr_repo[[#This Row],[Absent]]</f>
        <v>0</v>
      </c>
      <c r="BE28" s="30">
        <f>apr_repo[[#This Row],[Salary]]-apr_repo[[#This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/>
      <c r="O29" s="15" t="str">
        <f t="shared" si="12"/>
        <v>WO</v>
      </c>
      <c r="P29" s="15"/>
      <c r="Q29" s="15"/>
      <c r="R29" s="15"/>
      <c r="S29" s="15"/>
      <c r="T29" s="15"/>
      <c r="U29" s="15"/>
      <c r="V29" s="15" t="str">
        <f t="shared" si="12"/>
        <v>WO</v>
      </c>
      <c r="W29" s="15"/>
      <c r="X29" s="15"/>
      <c r="Y29" s="15"/>
      <c r="Z29" s="15"/>
      <c r="AA29" s="15"/>
      <c r="AB29" s="15"/>
      <c r="AC29" s="15" t="str">
        <f t="shared" si="11"/>
        <v>WO</v>
      </c>
      <c r="AD29" s="15"/>
      <c r="AE29" s="15"/>
      <c r="AF29" s="15"/>
      <c r="AG29" s="15"/>
      <c r="AH29" s="15"/>
      <c r="AI29" s="15"/>
      <c r="AJ29" s="15" t="str">
        <f t="shared" si="11"/>
        <v>WO</v>
      </c>
      <c r="AK29" s="15"/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April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30</v>
      </c>
      <c r="BA29" s="30">
        <f>apr_repo[[#This Row],[Days]]-apr_repo[[#This Row],[Absent]]</f>
        <v>30</v>
      </c>
      <c r="BB29" s="31">
        <v>0</v>
      </c>
      <c r="BC29" s="32">
        <f>apr_repo[[#This Row],[Salary]]/apr_repo[[#This Row],[Days]]</f>
        <v>0</v>
      </c>
      <c r="BD29" s="30">
        <f>apr_repo[[#This Row],[Per Day Salary]]*apr_repo[[#This Row],[Absent]]</f>
        <v>0</v>
      </c>
      <c r="BE29" s="30">
        <f>apr_repo[[#This Row],[Salary]]-apr_repo[[#This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/>
      <c r="O30" s="15" t="str">
        <f t="shared" si="12"/>
        <v>WO</v>
      </c>
      <c r="P30" s="15"/>
      <c r="Q30" s="15"/>
      <c r="R30" s="15"/>
      <c r="S30" s="15"/>
      <c r="T30" s="15"/>
      <c r="U30" s="15"/>
      <c r="V30" s="15" t="str">
        <f t="shared" si="12"/>
        <v>WO</v>
      </c>
      <c r="W30" s="15"/>
      <c r="X30" s="15"/>
      <c r="Y30" s="15"/>
      <c r="Z30" s="15"/>
      <c r="AA30" s="15"/>
      <c r="AB30" s="15"/>
      <c r="AC30" s="15" t="str">
        <f t="shared" si="11"/>
        <v>WO</v>
      </c>
      <c r="AD30" s="15"/>
      <c r="AE30" s="15"/>
      <c r="AF30" s="15"/>
      <c r="AG30" s="15"/>
      <c r="AH30" s="15"/>
      <c r="AI30" s="15"/>
      <c r="AJ30" s="15" t="str">
        <f t="shared" si="11"/>
        <v>WO</v>
      </c>
      <c r="AK30" s="15"/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April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30</v>
      </c>
      <c r="BA30" s="30">
        <f>apr_repo[[#This Row],[Days]]-apr_repo[[#This Row],[Absent]]</f>
        <v>30</v>
      </c>
      <c r="BB30" s="31">
        <v>0</v>
      </c>
      <c r="BC30" s="32">
        <f>apr_repo[[#This Row],[Salary]]/apr_repo[[#This Row],[Days]]</f>
        <v>0</v>
      </c>
      <c r="BD30" s="30">
        <f>apr_repo[[#This Row],[Per Day Salary]]*apr_repo[[#This Row],[Absent]]</f>
        <v>0</v>
      </c>
      <c r="BE30" s="30">
        <f>apr_repo[[#This Row],[Salary]]-apr_repo[[#This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/>
      <c r="O31" s="15" t="str">
        <f t="shared" si="12"/>
        <v>WO</v>
      </c>
      <c r="P31" s="15"/>
      <c r="Q31" s="15"/>
      <c r="R31" s="15"/>
      <c r="S31" s="15"/>
      <c r="T31" s="15"/>
      <c r="U31" s="15"/>
      <c r="V31" s="15" t="str">
        <f t="shared" si="12"/>
        <v>WO</v>
      </c>
      <c r="W31" s="15"/>
      <c r="X31" s="15"/>
      <c r="Y31" s="15"/>
      <c r="Z31" s="15"/>
      <c r="AA31" s="15"/>
      <c r="AB31" s="15"/>
      <c r="AC31" s="15" t="str">
        <f t="shared" si="11"/>
        <v>WO</v>
      </c>
      <c r="AD31" s="15"/>
      <c r="AE31" s="15"/>
      <c r="AF31" s="15"/>
      <c r="AG31" s="15"/>
      <c r="AH31" s="15"/>
      <c r="AI31" s="15"/>
      <c r="AJ31" s="15" t="str">
        <f t="shared" si="11"/>
        <v>WO</v>
      </c>
      <c r="AK31" s="15"/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April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30</v>
      </c>
      <c r="BA31" s="30">
        <f>apr_repo[[#This Row],[Days]]-apr_repo[[#This Row],[Absent]]</f>
        <v>30</v>
      </c>
      <c r="BB31" s="31">
        <v>0</v>
      </c>
      <c r="BC31" s="32">
        <f>apr_repo[[#This Row],[Salary]]/apr_repo[[#This Row],[Days]]</f>
        <v>0</v>
      </c>
      <c r="BD31" s="30">
        <f>apr_repo[[#This Row],[Per Day Salary]]*apr_repo[[#This Row],[Absent]]</f>
        <v>0</v>
      </c>
      <c r="BE31" s="30">
        <f>apr_repo[[#This Row],[Salary]]-apr_repo[[#This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/>
      <c r="O32" s="15" t="str">
        <f t="shared" si="12"/>
        <v>WO</v>
      </c>
      <c r="P32" s="15"/>
      <c r="Q32" s="15"/>
      <c r="R32" s="15"/>
      <c r="S32" s="15"/>
      <c r="T32" s="15"/>
      <c r="U32" s="15"/>
      <c r="V32" s="15" t="str">
        <f t="shared" si="12"/>
        <v>WO</v>
      </c>
      <c r="W32" s="15"/>
      <c r="X32" s="15"/>
      <c r="Y32" s="15"/>
      <c r="Z32" s="15"/>
      <c r="AA32" s="15"/>
      <c r="AB32" s="15"/>
      <c r="AC32" s="15" t="str">
        <f t="shared" si="11"/>
        <v>WO</v>
      </c>
      <c r="AD32" s="15"/>
      <c r="AE32" s="15"/>
      <c r="AF32" s="15"/>
      <c r="AG32" s="15"/>
      <c r="AH32" s="15"/>
      <c r="AI32" s="15"/>
      <c r="AJ32" s="15" t="str">
        <f t="shared" si="11"/>
        <v>WO</v>
      </c>
      <c r="AK32" s="15"/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April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30</v>
      </c>
      <c r="BA32" s="30">
        <f>apr_repo[[#This Row],[Days]]-apr_repo[[#This Row],[Absent]]</f>
        <v>30</v>
      </c>
      <c r="BB32" s="31">
        <v>0</v>
      </c>
      <c r="BC32" s="32">
        <f>apr_repo[[#This Row],[Salary]]/apr_repo[[#This Row],[Days]]</f>
        <v>0</v>
      </c>
      <c r="BD32" s="30">
        <f>apr_repo[[#This Row],[Per Day Salary]]*apr_repo[[#This Row],[Absent]]</f>
        <v>0</v>
      </c>
      <c r="BE32" s="30">
        <f>apr_repo[[#This Row],[Salary]]-apr_repo[[#This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/>
      <c r="O33" s="15" t="str">
        <f t="shared" si="12"/>
        <v>WO</v>
      </c>
      <c r="P33" s="15"/>
      <c r="Q33" s="15"/>
      <c r="R33" s="15"/>
      <c r="S33" s="15"/>
      <c r="T33" s="15"/>
      <c r="U33" s="15"/>
      <c r="V33" s="15" t="str">
        <f t="shared" ref="V33:AC38" si="13">IF(V$7="Sun","WO","")</f>
        <v>WO</v>
      </c>
      <c r="W33" s="15"/>
      <c r="X33" s="15"/>
      <c r="Y33" s="15"/>
      <c r="Z33" s="15"/>
      <c r="AA33" s="15"/>
      <c r="AB33" s="15"/>
      <c r="AC33" s="15" t="str">
        <f t="shared" si="13"/>
        <v>WO</v>
      </c>
      <c r="AD33" s="15"/>
      <c r="AE33" s="15"/>
      <c r="AF33" s="15"/>
      <c r="AG33" s="15"/>
      <c r="AH33" s="15"/>
      <c r="AI33" s="15"/>
      <c r="AJ33" s="15" t="str">
        <f t="shared" si="11"/>
        <v>WO</v>
      </c>
      <c r="AK33" s="15"/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April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30</v>
      </c>
      <c r="BA33" s="30">
        <f>apr_repo[[#This Row],[Days]]-apr_repo[[#This Row],[Absent]]</f>
        <v>30</v>
      </c>
      <c r="BB33" s="31">
        <v>0</v>
      </c>
      <c r="BC33" s="32">
        <f>apr_repo[[#This Row],[Salary]]/apr_repo[[#This Row],[Days]]</f>
        <v>0</v>
      </c>
      <c r="BD33" s="30">
        <f>apr_repo[[#This Row],[Per Day Salary]]*apr_repo[[#This Row],[Absent]]</f>
        <v>0</v>
      </c>
      <c r="BE33" s="30">
        <f>apr_repo[[#This Row],[Salary]]-apr_repo[[#This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/>
      <c r="O34" s="15" t="str">
        <f t="shared" ref="O34:V38" si="14">IF(O$7="Sun","WO","")</f>
        <v>WO</v>
      </c>
      <c r="P34" s="15"/>
      <c r="Q34" s="15"/>
      <c r="R34" s="15"/>
      <c r="S34" s="15"/>
      <c r="T34" s="15"/>
      <c r="U34" s="15"/>
      <c r="V34" s="15" t="str">
        <f t="shared" si="14"/>
        <v>WO</v>
      </c>
      <c r="W34" s="15"/>
      <c r="X34" s="15"/>
      <c r="Y34" s="15"/>
      <c r="Z34" s="15"/>
      <c r="AA34" s="15"/>
      <c r="AB34" s="15"/>
      <c r="AC34" s="15" t="str">
        <f t="shared" si="13"/>
        <v>WO</v>
      </c>
      <c r="AD34" s="15"/>
      <c r="AE34" s="15"/>
      <c r="AF34" s="15"/>
      <c r="AG34" s="15"/>
      <c r="AH34" s="15"/>
      <c r="AI34" s="15"/>
      <c r="AJ34" s="15" t="str">
        <f t="shared" si="11"/>
        <v>WO</v>
      </c>
      <c r="AK34" s="15"/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April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30</v>
      </c>
      <c r="BA34" s="30">
        <f>apr_repo[[#This Row],[Days]]-apr_repo[[#This Row],[Absent]]</f>
        <v>30</v>
      </c>
      <c r="BB34" s="31">
        <v>0</v>
      </c>
      <c r="BC34" s="32">
        <f>apr_repo[[#This Row],[Salary]]/apr_repo[[#This Row],[Days]]</f>
        <v>0</v>
      </c>
      <c r="BD34" s="30">
        <f>apr_repo[[#This Row],[Per Day Salary]]*apr_repo[[#This Row],[Absent]]</f>
        <v>0</v>
      </c>
      <c r="BE34" s="30">
        <f>apr_repo[[#This Row],[Salary]]-apr_repo[[#This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/>
      <c r="O35" s="15" t="str">
        <f t="shared" si="14"/>
        <v>WO</v>
      </c>
      <c r="P35" s="15"/>
      <c r="Q35" s="15"/>
      <c r="R35" s="15"/>
      <c r="S35" s="15"/>
      <c r="T35" s="15"/>
      <c r="U35" s="15"/>
      <c r="V35" s="15" t="str">
        <f t="shared" si="14"/>
        <v>WO</v>
      </c>
      <c r="W35" s="15"/>
      <c r="X35" s="15"/>
      <c r="Y35" s="15"/>
      <c r="Z35" s="15"/>
      <c r="AA35" s="15"/>
      <c r="AB35" s="15"/>
      <c r="AC35" s="15" t="str">
        <f t="shared" si="13"/>
        <v>WO</v>
      </c>
      <c r="AD35" s="15"/>
      <c r="AE35" s="15"/>
      <c r="AF35" s="15"/>
      <c r="AG35" s="15"/>
      <c r="AH35" s="15"/>
      <c r="AI35" s="15"/>
      <c r="AJ35" s="15" t="str">
        <f t="shared" ref="AJ35:AJ38" si="15">IF(AJ$7="Sun","WO","")</f>
        <v>WO</v>
      </c>
      <c r="AK35" s="15"/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April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30</v>
      </c>
      <c r="BA35" s="30">
        <f>apr_repo[[#This Row],[Days]]-apr_repo[[#This Row],[Absent]]</f>
        <v>30</v>
      </c>
      <c r="BB35" s="31">
        <v>0</v>
      </c>
      <c r="BC35" s="32">
        <f>apr_repo[[#This Row],[Salary]]/apr_repo[[#This Row],[Days]]</f>
        <v>0</v>
      </c>
      <c r="BD35" s="30">
        <f>apr_repo[[#This Row],[Per Day Salary]]*apr_repo[[#This Row],[Absent]]</f>
        <v>0</v>
      </c>
      <c r="BE35" s="30">
        <f>apr_repo[[#This Row],[Salary]]-apr_repo[[#This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/>
      <c r="O36" s="15" t="str">
        <f t="shared" si="14"/>
        <v>WO</v>
      </c>
      <c r="P36" s="15"/>
      <c r="Q36" s="15"/>
      <c r="R36" s="15"/>
      <c r="S36" s="15"/>
      <c r="T36" s="15"/>
      <c r="U36" s="15"/>
      <c r="V36" s="15" t="str">
        <f t="shared" si="14"/>
        <v>WO</v>
      </c>
      <c r="W36" s="15"/>
      <c r="X36" s="15"/>
      <c r="Y36" s="15"/>
      <c r="Z36" s="15"/>
      <c r="AA36" s="15"/>
      <c r="AB36" s="15"/>
      <c r="AC36" s="15" t="str">
        <f t="shared" si="13"/>
        <v>WO</v>
      </c>
      <c r="AD36" s="15"/>
      <c r="AE36" s="15"/>
      <c r="AF36" s="15"/>
      <c r="AG36" s="15"/>
      <c r="AH36" s="15"/>
      <c r="AI36" s="15"/>
      <c r="AJ36" s="15" t="str">
        <f t="shared" si="15"/>
        <v>WO</v>
      </c>
      <c r="AK36" s="15"/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April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30</v>
      </c>
      <c r="BA36" s="30">
        <f>apr_repo[[#This Row],[Days]]-apr_repo[[#This Row],[Absent]]</f>
        <v>30</v>
      </c>
      <c r="BB36" s="31">
        <v>0</v>
      </c>
      <c r="BC36" s="32">
        <f>apr_repo[[#This Row],[Salary]]/apr_repo[[#This Row],[Days]]</f>
        <v>0</v>
      </c>
      <c r="BD36" s="30">
        <f>apr_repo[[#This Row],[Per Day Salary]]*apr_repo[[#This Row],[Absent]]</f>
        <v>0</v>
      </c>
      <c r="BE36" s="30">
        <f>apr_repo[[#This Row],[Salary]]-apr_repo[[#This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/>
      <c r="O37" s="15" t="str">
        <f t="shared" si="14"/>
        <v>WO</v>
      </c>
      <c r="P37" s="15"/>
      <c r="Q37" s="15"/>
      <c r="R37" s="15"/>
      <c r="S37" s="15"/>
      <c r="T37" s="15"/>
      <c r="U37" s="15"/>
      <c r="V37" s="15" t="str">
        <f t="shared" si="14"/>
        <v>WO</v>
      </c>
      <c r="W37" s="15"/>
      <c r="X37" s="15"/>
      <c r="Y37" s="15"/>
      <c r="Z37" s="15"/>
      <c r="AA37" s="15"/>
      <c r="AB37" s="15"/>
      <c r="AC37" s="15" t="str">
        <f t="shared" si="13"/>
        <v>WO</v>
      </c>
      <c r="AD37" s="15"/>
      <c r="AE37" s="15"/>
      <c r="AF37" s="15"/>
      <c r="AG37" s="15"/>
      <c r="AH37" s="15"/>
      <c r="AI37" s="15"/>
      <c r="AJ37" s="15" t="str">
        <f t="shared" si="15"/>
        <v>WO</v>
      </c>
      <c r="AK37" s="15"/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April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30</v>
      </c>
      <c r="BA37" s="30">
        <f>apr_repo[[#This Row],[Days]]-apr_repo[[#This Row],[Absent]]</f>
        <v>30</v>
      </c>
      <c r="BB37" s="31">
        <v>0</v>
      </c>
      <c r="BC37" s="32">
        <f>apr_repo[[#This Row],[Salary]]/apr_repo[[#This Row],[Days]]</f>
        <v>0</v>
      </c>
      <c r="BD37" s="30">
        <f>apr_repo[[#This Row],[Per Day Salary]]*apr_repo[[#This Row],[Absent]]</f>
        <v>0</v>
      </c>
      <c r="BE37" s="30">
        <f>apr_repo[[#This Row],[Salary]]-apr_repo[[#This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/>
      <c r="O38" s="21" t="str">
        <f t="shared" si="14"/>
        <v>WO</v>
      </c>
      <c r="P38" s="21"/>
      <c r="Q38" s="21"/>
      <c r="R38" s="21"/>
      <c r="S38" s="21"/>
      <c r="T38" s="21"/>
      <c r="U38" s="21"/>
      <c r="V38" s="21" t="str">
        <f t="shared" si="14"/>
        <v>WO</v>
      </c>
      <c r="W38" s="21"/>
      <c r="X38" s="21"/>
      <c r="Y38" s="21"/>
      <c r="Z38" s="21"/>
      <c r="AA38" s="21"/>
      <c r="AB38" s="21"/>
      <c r="AC38" s="21" t="str">
        <f t="shared" si="13"/>
        <v>WO</v>
      </c>
      <c r="AD38" s="21"/>
      <c r="AE38" s="21"/>
      <c r="AF38" s="21"/>
      <c r="AG38" s="21"/>
      <c r="AH38" s="21"/>
      <c r="AI38" s="21"/>
      <c r="AJ38" s="21" t="str">
        <f t="shared" si="15"/>
        <v>WO</v>
      </c>
      <c r="AK38" s="21"/>
      <c r="AL38" s="21"/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April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30</v>
      </c>
      <c r="BA38" s="30">
        <f>apr_repo[[#This Row],[Days]]-apr_repo[[#This Row],[Absent]]</f>
        <v>30</v>
      </c>
      <c r="BB38" s="31">
        <v>0</v>
      </c>
      <c r="BC38" s="32">
        <f>apr_repo[[#This Row],[Salary]]/apr_repo[[#This Row],[Days]]</f>
        <v>0</v>
      </c>
      <c r="BD38" s="30">
        <f>apr_repo[[#This Row],[Per Day Salary]]*apr_repo[[#This Row],[Absent]]</f>
        <v>0</v>
      </c>
      <c r="BE38" s="30">
        <f>apr_repo[[#This Row],[Salary]]-apr_repo[[#This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278" priority="12" operator="containsText" text="WO">
      <formula>NOT(ISERROR(SEARCH("WO",H5)))</formula>
    </cfRule>
  </conditionalFormatting>
  <conditionalFormatting sqref="K9">
    <cfRule type="containsText" dxfId="277" priority="5" operator="containsText" text="L">
      <formula>NOT(ISERROR(SEARCH("L",K9)))</formula>
    </cfRule>
    <cfRule type="containsText" dxfId="276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275" priority="9" operator="containsText" text="WO">
      <formula>NOT(ISERROR(SEARCH("WO",A1)))</formula>
    </cfRule>
    <cfRule type="containsText" dxfId="274" priority="10" operator="containsText" text="WO">
      <formula>NOT(ISERROR(SEARCH("WO",A1)))</formula>
    </cfRule>
  </conditionalFormatting>
  <conditionalFormatting sqref="K9:AO38">
    <cfRule type="containsText" dxfId="273" priority="6" operator="containsText" text="L">
      <formula>NOT(ISERROR(SEARCH("L",K9)))</formula>
    </cfRule>
    <cfRule type="containsText" dxfId="272" priority="7" operator="containsText" text="A">
      <formula>NOT(ISERROR(SEARCH("A",K9)))</formula>
    </cfRule>
    <cfRule type="containsText" dxfId="271" priority="8" operator="containsText" text="P">
      <formula>NOT(ISERROR(SEARCH("P",K9)))</formula>
    </cfRule>
  </conditionalFormatting>
  <conditionalFormatting sqref="BB9:BB38">
    <cfRule type="containsText" dxfId="270" priority="3" operator="containsText" text="WO">
      <formula>NOT(ISERROR(SEARCH("WO",BB9)))</formula>
    </cfRule>
    <cfRule type="containsText" dxfId="269" priority="4" operator="containsText" text="WO">
      <formula>NOT(ISERROR(SEARCH("WO",BB9)))</formula>
    </cfRule>
  </conditionalFormatting>
  <conditionalFormatting sqref="I9:I12">
    <cfRule type="containsText" dxfId="268" priority="1" operator="containsText" text="WO">
      <formula>NOT(ISERROR(SEARCH("WO",I9)))</formula>
    </cfRule>
    <cfRule type="containsText" dxfId="267" priority="2" operator="containsText" text="WO">
      <formula>NOT(ISERROR(SEARCH("WO",I9)))</formula>
    </cfRule>
  </conditionalFormatting>
  <dataValidations count="1">
    <dataValidation type="list" allowBlank="1" showInputMessage="1" showErrorMessage="1" sqref="K9:N38 P9:U38 W9:AB38 AD9:AI38 AK9:AO38" xr:uid="{00000000-0002-0000-03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300-000003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APR!AV9:AY9</xm:f>
              <xm:sqref>BF9</xm:sqref>
            </x14:sparkline>
            <x14:sparkline>
              <xm:f>APR!AV10:AY10</xm:f>
              <xm:sqref>BF10</xm:sqref>
            </x14:sparkline>
            <x14:sparkline>
              <xm:f>APR!AV11:AY11</xm:f>
              <xm:sqref>BF11</xm:sqref>
            </x14:sparkline>
            <x14:sparkline>
              <xm:f>APR!AV12:AY12</xm:f>
              <xm:sqref>BF12</xm:sqref>
            </x14:sparkline>
            <x14:sparkline>
              <xm:f>APR!AV13:AY13</xm:f>
              <xm:sqref>BF13</xm:sqref>
            </x14:sparkline>
            <x14:sparkline>
              <xm:f>APR!AV14:AY14</xm:f>
              <xm:sqref>BF14</xm:sqref>
            </x14:sparkline>
            <x14:sparkline>
              <xm:f>APR!AV15:AY15</xm:f>
              <xm:sqref>BF15</xm:sqref>
            </x14:sparkline>
            <x14:sparkline>
              <xm:f>APR!AV16:AY16</xm:f>
              <xm:sqref>BF16</xm:sqref>
            </x14:sparkline>
            <x14:sparkline>
              <xm:f>APR!AV17:AY17</xm:f>
              <xm:sqref>BF17</xm:sqref>
            </x14:sparkline>
            <x14:sparkline>
              <xm:f>APR!AV18:AY18</xm:f>
              <xm:sqref>BF18</xm:sqref>
            </x14:sparkline>
            <x14:sparkline>
              <xm:f>APR!AV19:AY19</xm:f>
              <xm:sqref>BF19</xm:sqref>
            </x14:sparkline>
            <x14:sparkline>
              <xm:f>APR!AV20:AY20</xm:f>
              <xm:sqref>BF20</xm:sqref>
            </x14:sparkline>
            <x14:sparkline>
              <xm:f>APR!AV21:AY21</xm:f>
              <xm:sqref>BF21</xm:sqref>
            </x14:sparkline>
            <x14:sparkline>
              <xm:f>APR!AV22:AY22</xm:f>
              <xm:sqref>BF22</xm:sqref>
            </x14:sparkline>
            <x14:sparkline>
              <xm:f>APR!AV23:AY23</xm:f>
              <xm:sqref>BF23</xm:sqref>
            </x14:sparkline>
            <x14:sparkline>
              <xm:f>APR!AV24:AY24</xm:f>
              <xm:sqref>BF24</xm:sqref>
            </x14:sparkline>
            <x14:sparkline>
              <xm:f>APR!AV25:AY25</xm:f>
              <xm:sqref>BF25</xm:sqref>
            </x14:sparkline>
            <x14:sparkline>
              <xm:f>APR!AV26:AY26</xm:f>
              <xm:sqref>BF26</xm:sqref>
            </x14:sparkline>
            <x14:sparkline>
              <xm:f>APR!AV27:AY27</xm:f>
              <xm:sqref>BF27</xm:sqref>
            </x14:sparkline>
            <x14:sparkline>
              <xm:f>APR!AV28:AY28</xm:f>
              <xm:sqref>BF28</xm:sqref>
            </x14:sparkline>
            <x14:sparkline>
              <xm:f>APR!AV29:AY29</xm:f>
              <xm:sqref>BF29</xm:sqref>
            </x14:sparkline>
            <x14:sparkline>
              <xm:f>APR!AV30:AY30</xm:f>
              <xm:sqref>BF30</xm:sqref>
            </x14:sparkline>
            <x14:sparkline>
              <xm:f>APR!AV31:AY31</xm:f>
              <xm:sqref>BF31</xm:sqref>
            </x14:sparkline>
            <x14:sparkline>
              <xm:f>APR!AV32:AY32</xm:f>
              <xm:sqref>BF32</xm:sqref>
            </x14:sparkline>
            <x14:sparkline>
              <xm:f>APR!AV33:AY33</xm:f>
              <xm:sqref>BF33</xm:sqref>
            </x14:sparkline>
            <x14:sparkline>
              <xm:f>APR!AV34:AY34</xm:f>
              <xm:sqref>BF34</xm:sqref>
            </x14:sparkline>
            <x14:sparkline>
              <xm:f>APR!AV35:AY35</xm:f>
              <xm:sqref>BF35</xm:sqref>
            </x14:sparkline>
            <x14:sparkline>
              <xm:f>APR!AV36:AY36</xm:f>
              <xm:sqref>BF36</xm:sqref>
            </x14:sparkline>
            <x14:sparkline>
              <xm:f>APR!AV37:AY37</xm:f>
              <xm:sqref>BF37</xm:sqref>
            </x14:sparkline>
            <x14:sparkline>
              <xm:f>APR!AV38:AY38</xm:f>
              <xm:sqref>BF38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Z163"/>
  <sheetViews>
    <sheetView topLeftCell="E1" zoomScaleNormal="100" workbookViewId="0">
      <selection activeCell="I9" sqref="I9:I12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46143</v>
      </c>
      <c r="I5" s="42">
        <f>(DATEDIF($H$5,$L$5,"D"))+1</f>
        <v>31</v>
      </c>
      <c r="J5" s="42" t="str">
        <f>TEXT(H5,"MMMM")</f>
        <v>May</v>
      </c>
      <c r="K5" s="42" t="s">
        <v>64</v>
      </c>
      <c r="L5" s="46">
        <f>EOMONTH(H5,0)</f>
        <v>46173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Fri</v>
      </c>
      <c r="L7" s="4" t="str">
        <f t="shared" ref="L7:AO7" si="0">TEXT(L8,"DDD")</f>
        <v>Sat</v>
      </c>
      <c r="M7" s="4" t="str">
        <f t="shared" si="0"/>
        <v>Sun</v>
      </c>
      <c r="N7" s="4" t="str">
        <f t="shared" si="0"/>
        <v>Mon</v>
      </c>
      <c r="O7" s="4" t="str">
        <f t="shared" si="0"/>
        <v>Tue</v>
      </c>
      <c r="P7" s="4" t="str">
        <f t="shared" si="0"/>
        <v>Wed</v>
      </c>
      <c r="Q7" s="4" t="str">
        <f t="shared" si="0"/>
        <v>Thu</v>
      </c>
      <c r="R7" s="4" t="str">
        <f t="shared" si="0"/>
        <v>Fri</v>
      </c>
      <c r="S7" s="4" t="str">
        <f t="shared" si="0"/>
        <v>Sat</v>
      </c>
      <c r="T7" s="4" t="str">
        <f t="shared" si="0"/>
        <v>Sun</v>
      </c>
      <c r="U7" s="4" t="str">
        <f t="shared" si="0"/>
        <v>Mon</v>
      </c>
      <c r="V7" s="4" t="str">
        <f t="shared" si="0"/>
        <v>Tue</v>
      </c>
      <c r="W7" s="4" t="str">
        <f t="shared" si="0"/>
        <v>Wed</v>
      </c>
      <c r="X7" s="4" t="str">
        <f t="shared" si="0"/>
        <v>Thu</v>
      </c>
      <c r="Y7" s="4" t="str">
        <f t="shared" si="0"/>
        <v>Fri</v>
      </c>
      <c r="Z7" s="4" t="str">
        <f t="shared" si="0"/>
        <v>Sat</v>
      </c>
      <c r="AA7" s="4" t="str">
        <f t="shared" si="0"/>
        <v>Sun</v>
      </c>
      <c r="AB7" s="4" t="str">
        <f t="shared" si="0"/>
        <v>Mon</v>
      </c>
      <c r="AC7" s="4" t="str">
        <f t="shared" si="0"/>
        <v>Tue</v>
      </c>
      <c r="AD7" s="4" t="str">
        <f t="shared" si="0"/>
        <v>Wed</v>
      </c>
      <c r="AE7" s="4" t="str">
        <f t="shared" si="0"/>
        <v>Thu</v>
      </c>
      <c r="AF7" s="4" t="str">
        <f t="shared" si="0"/>
        <v>Fri</v>
      </c>
      <c r="AG7" s="4" t="str">
        <f t="shared" si="0"/>
        <v>Sat</v>
      </c>
      <c r="AH7" s="4" t="str">
        <f t="shared" si="0"/>
        <v>Sun</v>
      </c>
      <c r="AI7" s="4" t="str">
        <f t="shared" si="0"/>
        <v>Mon</v>
      </c>
      <c r="AJ7" s="4" t="str">
        <f t="shared" si="0"/>
        <v>Tue</v>
      </c>
      <c r="AK7" s="4" t="str">
        <f t="shared" si="0"/>
        <v>Wed</v>
      </c>
      <c r="AL7" s="4" t="str">
        <f t="shared" si="0"/>
        <v>Thu</v>
      </c>
      <c r="AM7" s="4" t="str">
        <f t="shared" si="0"/>
        <v>Fri</v>
      </c>
      <c r="AN7" s="4" t="str">
        <f t="shared" si="0"/>
        <v>Sat</v>
      </c>
      <c r="AO7" s="4" t="str">
        <f t="shared" si="0"/>
        <v>Sun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46143</v>
      </c>
      <c r="L8" s="9">
        <f>IF(K8&lt;$L$5,K8+1,"")</f>
        <v>46144</v>
      </c>
      <c r="M8" s="9">
        <f t="shared" ref="M8:AM8" si="1">IF(L8&lt;$L$5,L8+1,"")</f>
        <v>46145</v>
      </c>
      <c r="N8" s="9">
        <f t="shared" si="1"/>
        <v>46146</v>
      </c>
      <c r="O8" s="9">
        <f t="shared" si="1"/>
        <v>46147</v>
      </c>
      <c r="P8" s="9">
        <f t="shared" si="1"/>
        <v>46148</v>
      </c>
      <c r="Q8" s="9">
        <f t="shared" si="1"/>
        <v>46149</v>
      </c>
      <c r="R8" s="9">
        <f t="shared" si="1"/>
        <v>46150</v>
      </c>
      <c r="S8" s="9">
        <f t="shared" si="1"/>
        <v>46151</v>
      </c>
      <c r="T8" s="9">
        <f t="shared" si="1"/>
        <v>46152</v>
      </c>
      <c r="U8" s="9">
        <f t="shared" si="1"/>
        <v>46153</v>
      </c>
      <c r="V8" s="9">
        <f t="shared" si="1"/>
        <v>46154</v>
      </c>
      <c r="W8" s="9">
        <f t="shared" si="1"/>
        <v>46155</v>
      </c>
      <c r="X8" s="9">
        <f t="shared" si="1"/>
        <v>46156</v>
      </c>
      <c r="Y8" s="9">
        <f t="shared" si="1"/>
        <v>46157</v>
      </c>
      <c r="Z8" s="9">
        <f t="shared" si="1"/>
        <v>46158</v>
      </c>
      <c r="AA8" s="9">
        <f t="shared" si="1"/>
        <v>46159</v>
      </c>
      <c r="AB8" s="9">
        <f t="shared" si="1"/>
        <v>46160</v>
      </c>
      <c r="AC8" s="9">
        <f t="shared" si="1"/>
        <v>46161</v>
      </c>
      <c r="AD8" s="9">
        <f t="shared" si="1"/>
        <v>46162</v>
      </c>
      <c r="AE8" s="9">
        <f t="shared" si="1"/>
        <v>46163</v>
      </c>
      <c r="AF8" s="9">
        <f t="shared" si="1"/>
        <v>46164</v>
      </c>
      <c r="AG8" s="9">
        <f t="shared" si="1"/>
        <v>46165</v>
      </c>
      <c r="AH8" s="9">
        <f t="shared" si="1"/>
        <v>46166</v>
      </c>
      <c r="AI8" s="9">
        <f t="shared" si="1"/>
        <v>46167</v>
      </c>
      <c r="AJ8" s="9">
        <f t="shared" si="1"/>
        <v>46168</v>
      </c>
      <c r="AK8" s="9">
        <f t="shared" si="1"/>
        <v>46169</v>
      </c>
      <c r="AL8" s="9">
        <f t="shared" si="1"/>
        <v>46170</v>
      </c>
      <c r="AM8" s="9">
        <f t="shared" si="1"/>
        <v>46171</v>
      </c>
      <c r="AN8" s="9">
        <f t="shared" ref="AN8:AO8" si="2">IF(AM8&lt;=$L$5,AM8+1,"")</f>
        <v>46172</v>
      </c>
      <c r="AO8" s="10">
        <f t="shared" si="2"/>
        <v>46173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5</v>
      </c>
      <c r="K9" s="15"/>
      <c r="L9" s="15"/>
      <c r="M9" s="15" t="str">
        <f t="shared" ref="M9:AO17" si="3">IF(M$7="Sun","WO","")</f>
        <v>WO</v>
      </c>
      <c r="N9" s="15"/>
      <c r="O9" s="15"/>
      <c r="P9" s="15"/>
      <c r="Q9" s="15"/>
      <c r="R9" s="15"/>
      <c r="S9" s="15"/>
      <c r="T9" s="15" t="str">
        <f t="shared" si="3"/>
        <v>WO</v>
      </c>
      <c r="U9" s="15"/>
      <c r="V9" s="15"/>
      <c r="W9" s="15"/>
      <c r="X9" s="15"/>
      <c r="Y9" s="15"/>
      <c r="Z9" s="15"/>
      <c r="AA9" s="15" t="str">
        <f t="shared" si="3"/>
        <v>WO</v>
      </c>
      <c r="AB9" s="15"/>
      <c r="AC9" s="15"/>
      <c r="AD9" s="15"/>
      <c r="AE9" s="15"/>
      <c r="AF9" s="15"/>
      <c r="AG9" s="15"/>
      <c r="AH9" s="15" t="str">
        <f t="shared" si="3"/>
        <v>WO</v>
      </c>
      <c r="AI9" s="15"/>
      <c r="AJ9" s="15"/>
      <c r="AK9" s="15"/>
      <c r="AL9" s="15"/>
      <c r="AM9" s="15"/>
      <c r="AN9" s="15"/>
      <c r="AO9" s="16" t="str">
        <f t="shared" si="3"/>
        <v>WO</v>
      </c>
      <c r="AP9" s="40"/>
      <c r="AQ9" s="38"/>
      <c r="AR9" s="26">
        <v>1</v>
      </c>
      <c r="AS9" s="27" t="s">
        <v>32</v>
      </c>
      <c r="AT9" s="28" t="str">
        <f t="shared" ref="AT9:AT38" si="4">$J$5</f>
        <v>May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5</v>
      </c>
      <c r="AZ9" s="30">
        <f t="shared" ref="AZ9:AZ38" si="9">$I$5</f>
        <v>31</v>
      </c>
      <c r="BA9" s="30">
        <f>may_repo[[#This Row],[Days]]-may_repo[[#This Row],[Absent]]</f>
        <v>31</v>
      </c>
      <c r="BB9" s="31">
        <v>11000</v>
      </c>
      <c r="BC9" s="32">
        <f>may_repo[[#This Row],[Salary]]/may_repo[[#This Row],[Days]]</f>
        <v>354.83870967741933</v>
      </c>
      <c r="BD9" s="30">
        <f>may_repo[[#This Row],[Per Day Salary]]*may_repo[[#This Row],[Absent]]</f>
        <v>0</v>
      </c>
      <c r="BE9" s="30">
        <f>may_repo[[#This Row],[Salary]]-may_repo[[#This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5</v>
      </c>
      <c r="K10" s="15"/>
      <c r="L10" s="15"/>
      <c r="M10" s="15" t="str">
        <f t="shared" si="3"/>
        <v>WO</v>
      </c>
      <c r="N10" s="15"/>
      <c r="O10" s="15"/>
      <c r="P10" s="15"/>
      <c r="Q10" s="15"/>
      <c r="R10" s="15"/>
      <c r="S10" s="15"/>
      <c r="T10" s="15" t="str">
        <f t="shared" si="3"/>
        <v>WO</v>
      </c>
      <c r="U10" s="15"/>
      <c r="V10" s="15"/>
      <c r="W10" s="15"/>
      <c r="X10" s="15"/>
      <c r="Y10" s="15"/>
      <c r="Z10" s="15"/>
      <c r="AA10" s="15" t="str">
        <f t="shared" si="3"/>
        <v>WO</v>
      </c>
      <c r="AB10" s="15"/>
      <c r="AC10" s="15"/>
      <c r="AD10" s="15"/>
      <c r="AE10" s="15"/>
      <c r="AF10" s="15"/>
      <c r="AG10" s="15"/>
      <c r="AH10" s="15" t="str">
        <f t="shared" si="3"/>
        <v>WO</v>
      </c>
      <c r="AI10" s="15"/>
      <c r="AJ10" s="15"/>
      <c r="AK10" s="15"/>
      <c r="AL10" s="15"/>
      <c r="AM10" s="15"/>
      <c r="AN10" s="15"/>
      <c r="AO10" s="16" t="str">
        <f t="shared" si="3"/>
        <v>WO</v>
      </c>
      <c r="AP10" s="40"/>
      <c r="AQ10" s="38"/>
      <c r="AR10" s="34">
        <v>2</v>
      </c>
      <c r="AS10" s="35" t="s">
        <v>33</v>
      </c>
      <c r="AT10" s="28" t="str">
        <f t="shared" si="4"/>
        <v>May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5</v>
      </c>
      <c r="AZ10" s="30">
        <f t="shared" si="9"/>
        <v>31</v>
      </c>
      <c r="BA10" s="30">
        <f>may_repo[[#This Row],[Days]]-may_repo[[#This Row],[Absent]]</f>
        <v>31</v>
      </c>
      <c r="BB10" s="31">
        <v>11000</v>
      </c>
      <c r="BC10" s="32">
        <f>may_repo[[#This Row],[Salary]]/may_repo[[#This Row],[Days]]</f>
        <v>354.83870967741933</v>
      </c>
      <c r="BD10" s="30">
        <f>may_repo[[#This Row],[Per Day Salary]]*may_repo[[#This Row],[Absent]]</f>
        <v>0</v>
      </c>
      <c r="BE10" s="30">
        <f>may_repo[[#This Row],[Salary]]-may_repo[[#This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5</v>
      </c>
      <c r="K11" s="15"/>
      <c r="L11" s="15"/>
      <c r="M11" s="15" t="str">
        <f t="shared" si="3"/>
        <v>WO</v>
      </c>
      <c r="N11" s="15"/>
      <c r="O11" s="15"/>
      <c r="P11" s="15"/>
      <c r="Q11" s="15"/>
      <c r="R11" s="15"/>
      <c r="S11" s="15"/>
      <c r="T11" s="15" t="str">
        <f t="shared" si="3"/>
        <v>WO</v>
      </c>
      <c r="U11" s="15"/>
      <c r="V11" s="15"/>
      <c r="W11" s="15"/>
      <c r="X11" s="15"/>
      <c r="Y11" s="15"/>
      <c r="Z11" s="15"/>
      <c r="AA11" s="15" t="str">
        <f t="shared" si="3"/>
        <v>WO</v>
      </c>
      <c r="AB11" s="15"/>
      <c r="AC11" s="15"/>
      <c r="AD11" s="15"/>
      <c r="AE11" s="15"/>
      <c r="AF11" s="15"/>
      <c r="AG11" s="15"/>
      <c r="AH11" s="15" t="str">
        <f t="shared" si="3"/>
        <v>WO</v>
      </c>
      <c r="AI11" s="15"/>
      <c r="AJ11" s="15"/>
      <c r="AK11" s="15"/>
      <c r="AL11" s="15"/>
      <c r="AM11" s="15"/>
      <c r="AN11" s="15"/>
      <c r="AO11" s="16" t="str">
        <f t="shared" si="3"/>
        <v>WO</v>
      </c>
      <c r="AP11" s="40"/>
      <c r="AQ11" s="38"/>
      <c r="AR11" s="34">
        <v>3</v>
      </c>
      <c r="AS11" s="35" t="s">
        <v>34</v>
      </c>
      <c r="AT11" s="28" t="str">
        <f t="shared" si="4"/>
        <v>May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5</v>
      </c>
      <c r="AZ11" s="30">
        <f t="shared" si="9"/>
        <v>31</v>
      </c>
      <c r="BA11" s="30">
        <f>may_repo[[#This Row],[Days]]-may_repo[[#This Row],[Absent]]</f>
        <v>31</v>
      </c>
      <c r="BB11" s="31">
        <v>11000</v>
      </c>
      <c r="BC11" s="32">
        <f>may_repo[[#This Row],[Salary]]/may_repo[[#This Row],[Days]]</f>
        <v>354.83870967741933</v>
      </c>
      <c r="BD11" s="30">
        <f>may_repo[[#This Row],[Per Day Salary]]*may_repo[[#This Row],[Absent]]</f>
        <v>0</v>
      </c>
      <c r="BE11" s="30">
        <f>may_repo[[#This Row],[Salary]]-may_repo[[#This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5</v>
      </c>
      <c r="K12" s="15"/>
      <c r="L12" s="15"/>
      <c r="M12" s="15" t="str">
        <f t="shared" si="3"/>
        <v>WO</v>
      </c>
      <c r="N12" s="15"/>
      <c r="O12" s="15"/>
      <c r="P12" s="15"/>
      <c r="Q12" s="15"/>
      <c r="R12" s="15"/>
      <c r="S12" s="15"/>
      <c r="T12" s="15" t="str">
        <f t="shared" si="3"/>
        <v>WO</v>
      </c>
      <c r="U12" s="15"/>
      <c r="V12" s="15"/>
      <c r="W12" s="15"/>
      <c r="X12" s="15"/>
      <c r="Y12" s="15"/>
      <c r="Z12" s="15"/>
      <c r="AA12" s="15" t="str">
        <f t="shared" si="3"/>
        <v>WO</v>
      </c>
      <c r="AB12" s="15"/>
      <c r="AC12" s="15"/>
      <c r="AD12" s="15"/>
      <c r="AE12" s="15"/>
      <c r="AF12" s="15"/>
      <c r="AG12" s="15"/>
      <c r="AH12" s="15" t="str">
        <f t="shared" si="3"/>
        <v>WO</v>
      </c>
      <c r="AI12" s="15"/>
      <c r="AJ12" s="15"/>
      <c r="AK12" s="15"/>
      <c r="AL12" s="15"/>
      <c r="AM12" s="15"/>
      <c r="AN12" s="15"/>
      <c r="AO12" s="16" t="str">
        <f t="shared" si="3"/>
        <v>WO</v>
      </c>
      <c r="AP12" s="40"/>
      <c r="AQ12" s="38"/>
      <c r="AR12" s="34">
        <v>4</v>
      </c>
      <c r="AS12" s="35" t="s">
        <v>35</v>
      </c>
      <c r="AT12" s="28" t="str">
        <f t="shared" si="4"/>
        <v>May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5</v>
      </c>
      <c r="AZ12" s="30">
        <f t="shared" si="9"/>
        <v>31</v>
      </c>
      <c r="BA12" s="30">
        <f>may_repo[[#This Row],[Days]]-may_repo[[#This Row],[Absent]]</f>
        <v>31</v>
      </c>
      <c r="BB12" s="31">
        <v>11000</v>
      </c>
      <c r="BC12" s="32">
        <f>may_repo[[#This Row],[Salary]]/may_repo[[#This Row],[Days]]</f>
        <v>354.83870967741933</v>
      </c>
      <c r="BD12" s="30">
        <f>may_repo[[#This Row],[Per Day Salary]]*may_repo[[#This Row],[Absent]]</f>
        <v>0</v>
      </c>
      <c r="BE12" s="30">
        <f>may_repo[[#This Row],[Salary]]-may_repo[[#This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5</v>
      </c>
      <c r="K13" s="15"/>
      <c r="L13" s="15"/>
      <c r="M13" s="15" t="str">
        <f t="shared" si="3"/>
        <v>WO</v>
      </c>
      <c r="N13" s="15"/>
      <c r="O13" s="15"/>
      <c r="P13" s="15"/>
      <c r="Q13" s="15"/>
      <c r="R13" s="15"/>
      <c r="S13" s="15"/>
      <c r="T13" s="15" t="str">
        <f t="shared" si="3"/>
        <v>WO</v>
      </c>
      <c r="U13" s="15"/>
      <c r="V13" s="15"/>
      <c r="W13" s="15"/>
      <c r="X13" s="15"/>
      <c r="Y13" s="15"/>
      <c r="Z13" s="15"/>
      <c r="AA13" s="15" t="str">
        <f t="shared" si="3"/>
        <v>WO</v>
      </c>
      <c r="AB13" s="15"/>
      <c r="AC13" s="15"/>
      <c r="AD13" s="15"/>
      <c r="AE13" s="15"/>
      <c r="AF13" s="15"/>
      <c r="AG13" s="15"/>
      <c r="AH13" s="15" t="str">
        <f t="shared" si="3"/>
        <v>WO</v>
      </c>
      <c r="AI13" s="15"/>
      <c r="AJ13" s="15"/>
      <c r="AK13" s="15"/>
      <c r="AL13" s="15"/>
      <c r="AM13" s="15"/>
      <c r="AN13" s="15"/>
      <c r="AO13" s="16" t="str">
        <f t="shared" si="3"/>
        <v>WO</v>
      </c>
      <c r="AP13" s="40"/>
      <c r="AQ13" s="38"/>
      <c r="AR13" s="34">
        <v>5</v>
      </c>
      <c r="AS13" s="35" t="s">
        <v>36</v>
      </c>
      <c r="AT13" s="28" t="str">
        <f t="shared" si="4"/>
        <v>May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5</v>
      </c>
      <c r="AZ13" s="30">
        <f t="shared" si="9"/>
        <v>31</v>
      </c>
      <c r="BA13" s="30">
        <f>may_repo[[#This Row],[Days]]-may_repo[[#This Row],[Absent]]</f>
        <v>31</v>
      </c>
      <c r="BB13" s="31">
        <v>0</v>
      </c>
      <c r="BC13" s="32">
        <f>may_repo[[#This Row],[Salary]]/may_repo[[#This Row],[Days]]</f>
        <v>0</v>
      </c>
      <c r="BD13" s="30">
        <f>may_repo[[#This Row],[Per Day Salary]]*may_repo[[#This Row],[Absent]]</f>
        <v>0</v>
      </c>
      <c r="BE13" s="30">
        <f>may_repo[[#This Row],[Salary]]-may_repo[[#This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5</v>
      </c>
      <c r="K14" s="15"/>
      <c r="L14" s="15"/>
      <c r="M14" s="15" t="str">
        <f t="shared" si="3"/>
        <v>WO</v>
      </c>
      <c r="N14" s="15"/>
      <c r="O14" s="15"/>
      <c r="P14" s="15"/>
      <c r="Q14" s="15"/>
      <c r="R14" s="15"/>
      <c r="S14" s="15"/>
      <c r="T14" s="15" t="str">
        <f t="shared" si="3"/>
        <v>WO</v>
      </c>
      <c r="U14" s="15"/>
      <c r="V14" s="15"/>
      <c r="W14" s="15"/>
      <c r="X14" s="15"/>
      <c r="Y14" s="15"/>
      <c r="Z14" s="15"/>
      <c r="AA14" s="15" t="str">
        <f t="shared" si="3"/>
        <v>WO</v>
      </c>
      <c r="AB14" s="15"/>
      <c r="AC14" s="15"/>
      <c r="AD14" s="15"/>
      <c r="AE14" s="15"/>
      <c r="AF14" s="15"/>
      <c r="AG14" s="15"/>
      <c r="AH14" s="15" t="str">
        <f t="shared" si="3"/>
        <v>WO</v>
      </c>
      <c r="AI14" s="15"/>
      <c r="AJ14" s="15"/>
      <c r="AK14" s="15"/>
      <c r="AL14" s="15"/>
      <c r="AM14" s="15"/>
      <c r="AN14" s="15"/>
      <c r="AO14" s="16" t="str">
        <f t="shared" si="3"/>
        <v>WO</v>
      </c>
      <c r="AP14" s="40"/>
      <c r="AQ14" s="38"/>
      <c r="AR14" s="34">
        <v>6</v>
      </c>
      <c r="AS14" s="35" t="s">
        <v>37</v>
      </c>
      <c r="AT14" s="28" t="str">
        <f t="shared" si="4"/>
        <v>May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5</v>
      </c>
      <c r="AZ14" s="30">
        <f t="shared" si="9"/>
        <v>31</v>
      </c>
      <c r="BA14" s="30">
        <f>may_repo[[#This Row],[Days]]-may_repo[[#This Row],[Absent]]</f>
        <v>31</v>
      </c>
      <c r="BB14" s="31">
        <v>0</v>
      </c>
      <c r="BC14" s="32">
        <f>may_repo[[#This Row],[Salary]]/may_repo[[#This Row],[Days]]</f>
        <v>0</v>
      </c>
      <c r="BD14" s="30">
        <f>may_repo[[#This Row],[Per Day Salary]]*may_repo[[#This Row],[Absent]]</f>
        <v>0</v>
      </c>
      <c r="BE14" s="30">
        <f>may_repo[[#This Row],[Salary]]-may_repo[[#This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5</v>
      </c>
      <c r="K15" s="15"/>
      <c r="L15" s="15"/>
      <c r="M15" s="15" t="str">
        <f t="shared" si="3"/>
        <v>WO</v>
      </c>
      <c r="N15" s="15"/>
      <c r="O15" s="15"/>
      <c r="P15" s="15"/>
      <c r="Q15" s="15"/>
      <c r="R15" s="15"/>
      <c r="S15" s="15"/>
      <c r="T15" s="15" t="str">
        <f t="shared" si="3"/>
        <v>WO</v>
      </c>
      <c r="U15" s="15"/>
      <c r="V15" s="15"/>
      <c r="W15" s="15"/>
      <c r="X15" s="15"/>
      <c r="Y15" s="15"/>
      <c r="Z15" s="15"/>
      <c r="AA15" s="15" t="str">
        <f t="shared" si="3"/>
        <v>WO</v>
      </c>
      <c r="AB15" s="15"/>
      <c r="AC15" s="15"/>
      <c r="AD15" s="15"/>
      <c r="AE15" s="15"/>
      <c r="AF15" s="15"/>
      <c r="AG15" s="15"/>
      <c r="AH15" s="15" t="str">
        <f t="shared" si="3"/>
        <v>WO</v>
      </c>
      <c r="AI15" s="15"/>
      <c r="AJ15" s="15"/>
      <c r="AK15" s="15"/>
      <c r="AL15" s="15"/>
      <c r="AM15" s="15"/>
      <c r="AN15" s="15"/>
      <c r="AO15" s="16" t="str">
        <f t="shared" si="3"/>
        <v>WO</v>
      </c>
      <c r="AP15" s="40"/>
      <c r="AQ15" s="38"/>
      <c r="AR15" s="34">
        <v>7</v>
      </c>
      <c r="AS15" s="35" t="s">
        <v>38</v>
      </c>
      <c r="AT15" s="28" t="str">
        <f t="shared" si="4"/>
        <v>May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5</v>
      </c>
      <c r="AZ15" s="30">
        <f t="shared" si="9"/>
        <v>31</v>
      </c>
      <c r="BA15" s="30">
        <f>may_repo[[#This Row],[Days]]-may_repo[[#This Row],[Absent]]</f>
        <v>31</v>
      </c>
      <c r="BB15" s="31">
        <v>0</v>
      </c>
      <c r="BC15" s="32">
        <f>may_repo[[#This Row],[Salary]]/may_repo[[#This Row],[Days]]</f>
        <v>0</v>
      </c>
      <c r="BD15" s="30">
        <f>may_repo[[#This Row],[Per Day Salary]]*may_repo[[#This Row],[Absent]]</f>
        <v>0</v>
      </c>
      <c r="BE15" s="30">
        <f>may_repo[[#This Row],[Salary]]-may_repo[[#This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5</v>
      </c>
      <c r="K16" s="15"/>
      <c r="L16" s="15"/>
      <c r="M16" s="15" t="str">
        <f t="shared" si="3"/>
        <v>WO</v>
      </c>
      <c r="N16" s="15"/>
      <c r="O16" s="15"/>
      <c r="P16" s="15"/>
      <c r="Q16" s="15"/>
      <c r="R16" s="15"/>
      <c r="S16" s="15"/>
      <c r="T16" s="15" t="str">
        <f t="shared" si="3"/>
        <v>WO</v>
      </c>
      <c r="U16" s="15"/>
      <c r="V16" s="15"/>
      <c r="W16" s="15"/>
      <c r="X16" s="15"/>
      <c r="Y16" s="15"/>
      <c r="Z16" s="15"/>
      <c r="AA16" s="15" t="str">
        <f t="shared" si="3"/>
        <v>WO</v>
      </c>
      <c r="AB16" s="15"/>
      <c r="AC16" s="15"/>
      <c r="AD16" s="15"/>
      <c r="AE16" s="15"/>
      <c r="AF16" s="15"/>
      <c r="AG16" s="15"/>
      <c r="AH16" s="15" t="str">
        <f t="shared" si="3"/>
        <v>WO</v>
      </c>
      <c r="AI16" s="15"/>
      <c r="AJ16" s="15"/>
      <c r="AK16" s="15"/>
      <c r="AL16" s="15"/>
      <c r="AM16" s="15"/>
      <c r="AN16" s="15"/>
      <c r="AO16" s="16" t="str">
        <f t="shared" si="3"/>
        <v>WO</v>
      </c>
      <c r="AP16" s="40"/>
      <c r="AQ16" s="38"/>
      <c r="AR16" s="34">
        <v>8</v>
      </c>
      <c r="AS16" s="35" t="s">
        <v>39</v>
      </c>
      <c r="AT16" s="28" t="str">
        <f t="shared" si="4"/>
        <v>May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5</v>
      </c>
      <c r="AZ16" s="30">
        <f t="shared" si="9"/>
        <v>31</v>
      </c>
      <c r="BA16" s="30">
        <f>may_repo[[#This Row],[Days]]-may_repo[[#This Row],[Absent]]</f>
        <v>31</v>
      </c>
      <c r="BB16" s="31">
        <v>0</v>
      </c>
      <c r="BC16" s="32">
        <f>may_repo[[#This Row],[Salary]]/may_repo[[#This Row],[Days]]</f>
        <v>0</v>
      </c>
      <c r="BD16" s="30">
        <f>may_repo[[#This Row],[Per Day Salary]]*may_repo[[#This Row],[Absent]]</f>
        <v>0</v>
      </c>
      <c r="BE16" s="30">
        <f>may_repo[[#This Row],[Salary]]-may_repo[[#This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5</v>
      </c>
      <c r="K17" s="15"/>
      <c r="L17" s="15"/>
      <c r="M17" s="15" t="str">
        <f t="shared" si="3"/>
        <v>WO</v>
      </c>
      <c r="N17" s="15"/>
      <c r="O17" s="15"/>
      <c r="P17" s="15"/>
      <c r="Q17" s="15"/>
      <c r="R17" s="15"/>
      <c r="S17" s="15"/>
      <c r="T17" s="15" t="str">
        <f t="shared" si="3"/>
        <v>WO</v>
      </c>
      <c r="U17" s="15"/>
      <c r="V17" s="15"/>
      <c r="W17" s="15"/>
      <c r="X17" s="15"/>
      <c r="Y17" s="15"/>
      <c r="Z17" s="15"/>
      <c r="AA17" s="15" t="str">
        <f t="shared" ref="AA17:AO34" si="11">IF(AA$7="Sun","WO","")</f>
        <v>WO</v>
      </c>
      <c r="AB17" s="15"/>
      <c r="AC17" s="15"/>
      <c r="AD17" s="15"/>
      <c r="AE17" s="15"/>
      <c r="AF17" s="15"/>
      <c r="AG17" s="15"/>
      <c r="AH17" s="15" t="str">
        <f t="shared" si="11"/>
        <v>WO</v>
      </c>
      <c r="AI17" s="15"/>
      <c r="AJ17" s="15"/>
      <c r="AK17" s="15"/>
      <c r="AL17" s="15"/>
      <c r="AM17" s="15"/>
      <c r="AN17" s="15"/>
      <c r="AO17" s="16" t="str">
        <f t="shared" si="11"/>
        <v>WO</v>
      </c>
      <c r="AP17" s="40"/>
      <c r="AQ17" s="38"/>
      <c r="AR17" s="34">
        <v>9</v>
      </c>
      <c r="AS17" s="35" t="s">
        <v>40</v>
      </c>
      <c r="AT17" s="28" t="str">
        <f t="shared" si="4"/>
        <v>May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5</v>
      </c>
      <c r="AZ17" s="30">
        <f t="shared" si="9"/>
        <v>31</v>
      </c>
      <c r="BA17" s="30">
        <f>may_repo[[#This Row],[Days]]-may_repo[[#This Row],[Absent]]</f>
        <v>31</v>
      </c>
      <c r="BB17" s="31">
        <v>0</v>
      </c>
      <c r="BC17" s="32">
        <f>may_repo[[#This Row],[Salary]]/may_repo[[#This Row],[Days]]</f>
        <v>0</v>
      </c>
      <c r="BD17" s="30">
        <f>may_repo[[#This Row],[Per Day Salary]]*may_repo[[#This Row],[Absent]]</f>
        <v>0</v>
      </c>
      <c r="BE17" s="30">
        <f>may_repo[[#This Row],[Salary]]-may_repo[[#This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5</v>
      </c>
      <c r="K18" s="15"/>
      <c r="L18" s="15"/>
      <c r="M18" s="15" t="str">
        <f t="shared" ref="M18:T33" si="12">IF(M$7="Sun","WO","")</f>
        <v>WO</v>
      </c>
      <c r="N18" s="15"/>
      <c r="O18" s="15"/>
      <c r="P18" s="15"/>
      <c r="Q18" s="15"/>
      <c r="R18" s="15"/>
      <c r="S18" s="15"/>
      <c r="T18" s="15" t="str">
        <f t="shared" si="12"/>
        <v>WO</v>
      </c>
      <c r="U18" s="15"/>
      <c r="V18" s="15"/>
      <c r="W18" s="15"/>
      <c r="X18" s="15"/>
      <c r="Y18" s="15"/>
      <c r="Z18" s="15"/>
      <c r="AA18" s="15" t="str">
        <f t="shared" si="11"/>
        <v>WO</v>
      </c>
      <c r="AB18" s="15"/>
      <c r="AC18" s="15"/>
      <c r="AD18" s="15"/>
      <c r="AE18" s="15"/>
      <c r="AF18" s="15"/>
      <c r="AG18" s="15"/>
      <c r="AH18" s="15" t="str">
        <f t="shared" si="11"/>
        <v>WO</v>
      </c>
      <c r="AI18" s="15"/>
      <c r="AJ18" s="15"/>
      <c r="AK18" s="15"/>
      <c r="AL18" s="15"/>
      <c r="AM18" s="15"/>
      <c r="AN18" s="15"/>
      <c r="AO18" s="16" t="str">
        <f t="shared" si="11"/>
        <v>WO</v>
      </c>
      <c r="AP18" s="40"/>
      <c r="AQ18" s="38"/>
      <c r="AR18" s="34">
        <v>10</v>
      </c>
      <c r="AS18" s="35" t="s">
        <v>41</v>
      </c>
      <c r="AT18" s="28" t="str">
        <f t="shared" si="4"/>
        <v>May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5</v>
      </c>
      <c r="AZ18" s="30">
        <f t="shared" si="9"/>
        <v>31</v>
      </c>
      <c r="BA18" s="30">
        <f>may_repo[[#This Row],[Days]]-may_repo[[#This Row],[Absent]]</f>
        <v>31</v>
      </c>
      <c r="BB18" s="31">
        <v>0</v>
      </c>
      <c r="BC18" s="32">
        <f>may_repo[[#This Row],[Salary]]/may_repo[[#This Row],[Days]]</f>
        <v>0</v>
      </c>
      <c r="BD18" s="30">
        <f>may_repo[[#This Row],[Per Day Salary]]*may_repo[[#This Row],[Absent]]</f>
        <v>0</v>
      </c>
      <c r="BE18" s="30">
        <f>may_repo[[#This Row],[Salary]]-may_repo[[#This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5</v>
      </c>
      <c r="K19" s="15"/>
      <c r="L19" s="15"/>
      <c r="M19" s="15" t="str">
        <f t="shared" si="12"/>
        <v>WO</v>
      </c>
      <c r="N19" s="15"/>
      <c r="O19" s="15"/>
      <c r="P19" s="15"/>
      <c r="Q19" s="15"/>
      <c r="R19" s="15"/>
      <c r="S19" s="15"/>
      <c r="T19" s="15" t="str">
        <f t="shared" si="12"/>
        <v>WO</v>
      </c>
      <c r="U19" s="15"/>
      <c r="V19" s="15"/>
      <c r="W19" s="15"/>
      <c r="X19" s="15"/>
      <c r="Y19" s="15"/>
      <c r="Z19" s="15"/>
      <c r="AA19" s="15" t="str">
        <f t="shared" si="11"/>
        <v>WO</v>
      </c>
      <c r="AB19" s="15"/>
      <c r="AC19" s="15"/>
      <c r="AD19" s="15"/>
      <c r="AE19" s="15"/>
      <c r="AF19" s="15"/>
      <c r="AG19" s="15"/>
      <c r="AH19" s="15" t="str">
        <f t="shared" si="11"/>
        <v>WO</v>
      </c>
      <c r="AI19" s="15"/>
      <c r="AJ19" s="15"/>
      <c r="AK19" s="15"/>
      <c r="AL19" s="15"/>
      <c r="AM19" s="15"/>
      <c r="AN19" s="15"/>
      <c r="AO19" s="16" t="str">
        <f t="shared" si="11"/>
        <v>WO</v>
      </c>
      <c r="AP19" s="40"/>
      <c r="AQ19" s="38"/>
      <c r="AR19" s="34">
        <v>11</v>
      </c>
      <c r="AS19" s="35" t="s">
        <v>42</v>
      </c>
      <c r="AT19" s="28" t="str">
        <f t="shared" si="4"/>
        <v>May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5</v>
      </c>
      <c r="AZ19" s="30">
        <f t="shared" si="9"/>
        <v>31</v>
      </c>
      <c r="BA19" s="30">
        <f>may_repo[[#This Row],[Days]]-may_repo[[#This Row],[Absent]]</f>
        <v>31</v>
      </c>
      <c r="BB19" s="31">
        <v>0</v>
      </c>
      <c r="BC19" s="32">
        <f>may_repo[[#This Row],[Salary]]/may_repo[[#This Row],[Days]]</f>
        <v>0</v>
      </c>
      <c r="BD19" s="30">
        <f>may_repo[[#This Row],[Per Day Salary]]*may_repo[[#This Row],[Absent]]</f>
        <v>0</v>
      </c>
      <c r="BE19" s="30">
        <f>may_repo[[#This Row],[Salary]]-may_repo[[#This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5</v>
      </c>
      <c r="K20" s="15"/>
      <c r="L20" s="15"/>
      <c r="M20" s="15" t="str">
        <f t="shared" si="12"/>
        <v>WO</v>
      </c>
      <c r="N20" s="15"/>
      <c r="O20" s="15"/>
      <c r="P20" s="15"/>
      <c r="Q20" s="15"/>
      <c r="R20" s="15"/>
      <c r="S20" s="15"/>
      <c r="T20" s="15" t="str">
        <f t="shared" si="12"/>
        <v>WO</v>
      </c>
      <c r="U20" s="15"/>
      <c r="V20" s="15"/>
      <c r="W20" s="15"/>
      <c r="X20" s="15"/>
      <c r="Y20" s="15"/>
      <c r="Z20" s="15"/>
      <c r="AA20" s="15" t="str">
        <f t="shared" si="11"/>
        <v>WO</v>
      </c>
      <c r="AB20" s="15"/>
      <c r="AC20" s="15"/>
      <c r="AD20" s="15"/>
      <c r="AE20" s="15"/>
      <c r="AF20" s="15"/>
      <c r="AG20" s="15"/>
      <c r="AH20" s="15" t="str">
        <f t="shared" si="11"/>
        <v>WO</v>
      </c>
      <c r="AI20" s="15"/>
      <c r="AJ20" s="15"/>
      <c r="AK20" s="15"/>
      <c r="AL20" s="15"/>
      <c r="AM20" s="15"/>
      <c r="AN20" s="15"/>
      <c r="AO20" s="16" t="str">
        <f t="shared" si="11"/>
        <v>WO</v>
      </c>
      <c r="AP20" s="40"/>
      <c r="AQ20" s="38"/>
      <c r="AR20" s="34">
        <v>12</v>
      </c>
      <c r="AS20" s="35" t="s">
        <v>43</v>
      </c>
      <c r="AT20" s="28" t="str">
        <f t="shared" si="4"/>
        <v>May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5</v>
      </c>
      <c r="AZ20" s="30">
        <f t="shared" si="9"/>
        <v>31</v>
      </c>
      <c r="BA20" s="30">
        <f>may_repo[[#This Row],[Days]]-may_repo[[#This Row],[Absent]]</f>
        <v>31</v>
      </c>
      <c r="BB20" s="31">
        <v>0</v>
      </c>
      <c r="BC20" s="32">
        <f>may_repo[[#This Row],[Salary]]/may_repo[[#This Row],[Days]]</f>
        <v>0</v>
      </c>
      <c r="BD20" s="30">
        <f>may_repo[[#This Row],[Per Day Salary]]*may_repo[[#This Row],[Absent]]</f>
        <v>0</v>
      </c>
      <c r="BE20" s="30">
        <f>may_repo[[#This Row],[Salary]]-may_repo[[#This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5</v>
      </c>
      <c r="K21" s="15"/>
      <c r="L21" s="15"/>
      <c r="M21" s="15" t="str">
        <f t="shared" si="12"/>
        <v>WO</v>
      </c>
      <c r="N21" s="15"/>
      <c r="O21" s="15"/>
      <c r="P21" s="15"/>
      <c r="Q21" s="15"/>
      <c r="R21" s="15"/>
      <c r="S21" s="15"/>
      <c r="T21" s="15" t="str">
        <f t="shared" si="12"/>
        <v>WO</v>
      </c>
      <c r="U21" s="15"/>
      <c r="V21" s="15"/>
      <c r="W21" s="15"/>
      <c r="X21" s="15"/>
      <c r="Y21" s="15"/>
      <c r="Z21" s="15"/>
      <c r="AA21" s="15" t="str">
        <f t="shared" si="11"/>
        <v>WO</v>
      </c>
      <c r="AB21" s="15"/>
      <c r="AC21" s="15"/>
      <c r="AD21" s="15"/>
      <c r="AE21" s="15"/>
      <c r="AF21" s="15"/>
      <c r="AG21" s="15"/>
      <c r="AH21" s="15" t="str">
        <f t="shared" si="11"/>
        <v>WO</v>
      </c>
      <c r="AI21" s="15"/>
      <c r="AJ21" s="15"/>
      <c r="AK21" s="15"/>
      <c r="AL21" s="15"/>
      <c r="AM21" s="15"/>
      <c r="AN21" s="15"/>
      <c r="AO21" s="16" t="str">
        <f t="shared" si="11"/>
        <v>WO</v>
      </c>
      <c r="AP21" s="40"/>
      <c r="AQ21" s="38"/>
      <c r="AR21" s="34">
        <v>13</v>
      </c>
      <c r="AS21" s="35" t="s">
        <v>44</v>
      </c>
      <c r="AT21" s="28" t="str">
        <f t="shared" si="4"/>
        <v>May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5</v>
      </c>
      <c r="AZ21" s="30">
        <f t="shared" si="9"/>
        <v>31</v>
      </c>
      <c r="BA21" s="30">
        <f>may_repo[[#This Row],[Days]]-may_repo[[#This Row],[Absent]]</f>
        <v>31</v>
      </c>
      <c r="BB21" s="31">
        <v>0</v>
      </c>
      <c r="BC21" s="32">
        <f>may_repo[[#This Row],[Salary]]/may_repo[[#This Row],[Days]]</f>
        <v>0</v>
      </c>
      <c r="BD21" s="30">
        <f>may_repo[[#This Row],[Per Day Salary]]*may_repo[[#This Row],[Absent]]</f>
        <v>0</v>
      </c>
      <c r="BE21" s="30">
        <f>may_repo[[#This Row],[Salary]]-may_repo[[#This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5</v>
      </c>
      <c r="K22" s="15"/>
      <c r="L22" s="15"/>
      <c r="M22" s="15" t="str">
        <f t="shared" si="12"/>
        <v>WO</v>
      </c>
      <c r="N22" s="15"/>
      <c r="O22" s="15"/>
      <c r="P22" s="15"/>
      <c r="Q22" s="15"/>
      <c r="R22" s="15"/>
      <c r="S22" s="15"/>
      <c r="T22" s="15" t="str">
        <f t="shared" si="12"/>
        <v>WO</v>
      </c>
      <c r="U22" s="15"/>
      <c r="V22" s="15"/>
      <c r="W22" s="15"/>
      <c r="X22" s="15"/>
      <c r="Y22" s="15"/>
      <c r="Z22" s="15"/>
      <c r="AA22" s="15" t="str">
        <f t="shared" si="11"/>
        <v>WO</v>
      </c>
      <c r="AB22" s="15"/>
      <c r="AC22" s="15"/>
      <c r="AD22" s="15"/>
      <c r="AE22" s="15"/>
      <c r="AF22" s="15"/>
      <c r="AG22" s="15"/>
      <c r="AH22" s="15" t="str">
        <f t="shared" si="11"/>
        <v>WO</v>
      </c>
      <c r="AI22" s="15"/>
      <c r="AJ22" s="15"/>
      <c r="AK22" s="15"/>
      <c r="AL22" s="15"/>
      <c r="AM22" s="15"/>
      <c r="AN22" s="15"/>
      <c r="AO22" s="16" t="str">
        <f t="shared" si="11"/>
        <v>WO</v>
      </c>
      <c r="AP22" s="40"/>
      <c r="AQ22" s="38"/>
      <c r="AR22" s="34">
        <v>14</v>
      </c>
      <c r="AS22" s="35" t="s">
        <v>45</v>
      </c>
      <c r="AT22" s="28" t="str">
        <f t="shared" si="4"/>
        <v>May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5</v>
      </c>
      <c r="AZ22" s="30">
        <f t="shared" si="9"/>
        <v>31</v>
      </c>
      <c r="BA22" s="30">
        <f>may_repo[[#This Row],[Days]]-may_repo[[#This Row],[Absent]]</f>
        <v>31</v>
      </c>
      <c r="BB22" s="31">
        <v>0</v>
      </c>
      <c r="BC22" s="32">
        <f>may_repo[[#This Row],[Salary]]/may_repo[[#This Row],[Days]]</f>
        <v>0</v>
      </c>
      <c r="BD22" s="30">
        <f>may_repo[[#This Row],[Per Day Salary]]*may_repo[[#This Row],[Absent]]</f>
        <v>0</v>
      </c>
      <c r="BE22" s="30">
        <f>may_repo[[#This Row],[Salary]]-may_repo[[#This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5</v>
      </c>
      <c r="K23" s="15"/>
      <c r="L23" s="15"/>
      <c r="M23" s="15" t="str">
        <f t="shared" si="12"/>
        <v>WO</v>
      </c>
      <c r="N23" s="15"/>
      <c r="O23" s="15"/>
      <c r="P23" s="15"/>
      <c r="Q23" s="15"/>
      <c r="R23" s="15"/>
      <c r="S23" s="15"/>
      <c r="T23" s="15" t="str">
        <f t="shared" si="12"/>
        <v>WO</v>
      </c>
      <c r="U23" s="15"/>
      <c r="V23" s="15"/>
      <c r="W23" s="15"/>
      <c r="X23" s="15"/>
      <c r="Y23" s="15"/>
      <c r="Z23" s="15"/>
      <c r="AA23" s="15" t="str">
        <f t="shared" si="11"/>
        <v>WO</v>
      </c>
      <c r="AB23" s="15"/>
      <c r="AC23" s="15"/>
      <c r="AD23" s="15"/>
      <c r="AE23" s="15"/>
      <c r="AF23" s="15"/>
      <c r="AG23" s="15"/>
      <c r="AH23" s="15" t="str">
        <f t="shared" si="11"/>
        <v>WO</v>
      </c>
      <c r="AI23" s="15"/>
      <c r="AJ23" s="15"/>
      <c r="AK23" s="15"/>
      <c r="AL23" s="15"/>
      <c r="AM23" s="15"/>
      <c r="AN23" s="15"/>
      <c r="AO23" s="16" t="str">
        <f t="shared" si="11"/>
        <v>WO</v>
      </c>
      <c r="AP23" s="40"/>
      <c r="AQ23" s="38"/>
      <c r="AR23" s="34">
        <v>15</v>
      </c>
      <c r="AS23" s="35" t="s">
        <v>46</v>
      </c>
      <c r="AT23" s="28" t="str">
        <f t="shared" si="4"/>
        <v>May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5</v>
      </c>
      <c r="AZ23" s="30">
        <f t="shared" si="9"/>
        <v>31</v>
      </c>
      <c r="BA23" s="30">
        <f>may_repo[[#This Row],[Days]]-may_repo[[#This Row],[Absent]]</f>
        <v>31</v>
      </c>
      <c r="BB23" s="31">
        <v>0</v>
      </c>
      <c r="BC23" s="32">
        <f>may_repo[[#This Row],[Salary]]/may_repo[[#This Row],[Days]]</f>
        <v>0</v>
      </c>
      <c r="BD23" s="30">
        <f>may_repo[[#This Row],[Per Day Salary]]*may_repo[[#This Row],[Absent]]</f>
        <v>0</v>
      </c>
      <c r="BE23" s="30">
        <f>may_repo[[#This Row],[Salary]]-may_repo[[#This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5</v>
      </c>
      <c r="K24" s="15"/>
      <c r="L24" s="15"/>
      <c r="M24" s="15" t="str">
        <f t="shared" si="12"/>
        <v>WO</v>
      </c>
      <c r="N24" s="15"/>
      <c r="O24" s="15"/>
      <c r="P24" s="15"/>
      <c r="Q24" s="15"/>
      <c r="R24" s="15"/>
      <c r="S24" s="15"/>
      <c r="T24" s="15" t="str">
        <f t="shared" si="12"/>
        <v>WO</v>
      </c>
      <c r="U24" s="15"/>
      <c r="V24" s="15"/>
      <c r="W24" s="15"/>
      <c r="X24" s="15"/>
      <c r="Y24" s="15"/>
      <c r="Z24" s="15"/>
      <c r="AA24" s="15" t="str">
        <f t="shared" si="11"/>
        <v>WO</v>
      </c>
      <c r="AB24" s="15"/>
      <c r="AC24" s="15"/>
      <c r="AD24" s="15"/>
      <c r="AE24" s="15"/>
      <c r="AF24" s="15"/>
      <c r="AG24" s="15"/>
      <c r="AH24" s="15" t="str">
        <f t="shared" si="11"/>
        <v>WO</v>
      </c>
      <c r="AI24" s="15"/>
      <c r="AJ24" s="15"/>
      <c r="AK24" s="15"/>
      <c r="AL24" s="15"/>
      <c r="AM24" s="15"/>
      <c r="AN24" s="15"/>
      <c r="AO24" s="16" t="str">
        <f t="shared" si="11"/>
        <v>WO</v>
      </c>
      <c r="AP24" s="40"/>
      <c r="AQ24" s="38"/>
      <c r="AR24" s="34">
        <v>16</v>
      </c>
      <c r="AS24" s="35" t="s">
        <v>47</v>
      </c>
      <c r="AT24" s="28" t="str">
        <f t="shared" si="4"/>
        <v>May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5</v>
      </c>
      <c r="AZ24" s="30">
        <f t="shared" si="9"/>
        <v>31</v>
      </c>
      <c r="BA24" s="30">
        <f>may_repo[[#This Row],[Days]]-may_repo[[#This Row],[Absent]]</f>
        <v>31</v>
      </c>
      <c r="BB24" s="31">
        <v>0</v>
      </c>
      <c r="BC24" s="32">
        <f>may_repo[[#This Row],[Salary]]/may_repo[[#This Row],[Days]]</f>
        <v>0</v>
      </c>
      <c r="BD24" s="30">
        <f>may_repo[[#This Row],[Per Day Salary]]*may_repo[[#This Row],[Absent]]</f>
        <v>0</v>
      </c>
      <c r="BE24" s="30">
        <f>may_repo[[#This Row],[Salary]]-may_repo[[#This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5</v>
      </c>
      <c r="K25" s="15"/>
      <c r="L25" s="15"/>
      <c r="M25" s="15" t="str">
        <f t="shared" si="12"/>
        <v>WO</v>
      </c>
      <c r="N25" s="15"/>
      <c r="O25" s="15"/>
      <c r="P25" s="15"/>
      <c r="Q25" s="15"/>
      <c r="R25" s="15"/>
      <c r="S25" s="15"/>
      <c r="T25" s="15" t="str">
        <f t="shared" si="12"/>
        <v>WO</v>
      </c>
      <c r="U25" s="15"/>
      <c r="V25" s="15"/>
      <c r="W25" s="15"/>
      <c r="X25" s="15"/>
      <c r="Y25" s="15"/>
      <c r="Z25" s="15"/>
      <c r="AA25" s="15" t="str">
        <f t="shared" si="11"/>
        <v>WO</v>
      </c>
      <c r="AB25" s="15"/>
      <c r="AC25" s="15"/>
      <c r="AD25" s="15"/>
      <c r="AE25" s="15"/>
      <c r="AF25" s="15"/>
      <c r="AG25" s="15"/>
      <c r="AH25" s="15" t="str">
        <f t="shared" si="11"/>
        <v>WO</v>
      </c>
      <c r="AI25" s="15"/>
      <c r="AJ25" s="15"/>
      <c r="AK25" s="15"/>
      <c r="AL25" s="15"/>
      <c r="AM25" s="15"/>
      <c r="AN25" s="15"/>
      <c r="AO25" s="16" t="str">
        <f t="shared" si="11"/>
        <v>WO</v>
      </c>
      <c r="AP25" s="40"/>
      <c r="AQ25" s="38"/>
      <c r="AR25" s="34">
        <v>17</v>
      </c>
      <c r="AS25" s="35" t="s">
        <v>48</v>
      </c>
      <c r="AT25" s="28" t="str">
        <f t="shared" si="4"/>
        <v>May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5</v>
      </c>
      <c r="AZ25" s="30">
        <f t="shared" si="9"/>
        <v>31</v>
      </c>
      <c r="BA25" s="30">
        <f>may_repo[[#This Row],[Days]]-may_repo[[#This Row],[Absent]]</f>
        <v>31</v>
      </c>
      <c r="BB25" s="31">
        <v>0</v>
      </c>
      <c r="BC25" s="32">
        <f>may_repo[[#This Row],[Salary]]/may_repo[[#This Row],[Days]]</f>
        <v>0</v>
      </c>
      <c r="BD25" s="30">
        <f>may_repo[[#This Row],[Per Day Salary]]*may_repo[[#This Row],[Absent]]</f>
        <v>0</v>
      </c>
      <c r="BE25" s="30">
        <f>may_repo[[#This Row],[Salary]]-may_repo[[#This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5</v>
      </c>
      <c r="K26" s="15"/>
      <c r="L26" s="15"/>
      <c r="M26" s="15" t="str">
        <f t="shared" si="12"/>
        <v>WO</v>
      </c>
      <c r="N26" s="15"/>
      <c r="O26" s="15"/>
      <c r="P26" s="15"/>
      <c r="Q26" s="15"/>
      <c r="R26" s="15"/>
      <c r="S26" s="15"/>
      <c r="T26" s="15" t="str">
        <f t="shared" si="12"/>
        <v>WO</v>
      </c>
      <c r="U26" s="15"/>
      <c r="V26" s="15"/>
      <c r="W26" s="15"/>
      <c r="X26" s="15"/>
      <c r="Y26" s="15"/>
      <c r="Z26" s="15"/>
      <c r="AA26" s="15" t="str">
        <f t="shared" si="11"/>
        <v>WO</v>
      </c>
      <c r="AB26" s="15"/>
      <c r="AC26" s="15"/>
      <c r="AD26" s="15"/>
      <c r="AE26" s="15"/>
      <c r="AF26" s="15"/>
      <c r="AG26" s="15"/>
      <c r="AH26" s="15" t="str">
        <f t="shared" si="11"/>
        <v>WO</v>
      </c>
      <c r="AI26" s="15"/>
      <c r="AJ26" s="15"/>
      <c r="AK26" s="15"/>
      <c r="AL26" s="15"/>
      <c r="AM26" s="15"/>
      <c r="AN26" s="15"/>
      <c r="AO26" s="16" t="str">
        <f t="shared" si="11"/>
        <v>WO</v>
      </c>
      <c r="AP26" s="40"/>
      <c r="AQ26" s="38"/>
      <c r="AR26" s="34">
        <v>18</v>
      </c>
      <c r="AS26" s="35" t="s">
        <v>49</v>
      </c>
      <c r="AT26" s="28" t="str">
        <f t="shared" si="4"/>
        <v>May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5</v>
      </c>
      <c r="AZ26" s="30">
        <f t="shared" si="9"/>
        <v>31</v>
      </c>
      <c r="BA26" s="30">
        <f>may_repo[[#This Row],[Days]]-may_repo[[#This Row],[Absent]]</f>
        <v>31</v>
      </c>
      <c r="BB26" s="31">
        <v>0</v>
      </c>
      <c r="BC26" s="32">
        <f>may_repo[[#This Row],[Salary]]/may_repo[[#This Row],[Days]]</f>
        <v>0</v>
      </c>
      <c r="BD26" s="30">
        <f>may_repo[[#This Row],[Per Day Salary]]*may_repo[[#This Row],[Absent]]</f>
        <v>0</v>
      </c>
      <c r="BE26" s="30">
        <f>may_repo[[#This Row],[Salary]]-may_repo[[#This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5</v>
      </c>
      <c r="K27" s="15"/>
      <c r="L27" s="15"/>
      <c r="M27" s="15" t="str">
        <f t="shared" si="12"/>
        <v>WO</v>
      </c>
      <c r="N27" s="15"/>
      <c r="O27" s="15"/>
      <c r="P27" s="15"/>
      <c r="Q27" s="15"/>
      <c r="R27" s="15"/>
      <c r="S27" s="15"/>
      <c r="T27" s="15" t="str">
        <f t="shared" si="12"/>
        <v>WO</v>
      </c>
      <c r="U27" s="15"/>
      <c r="V27" s="15"/>
      <c r="W27" s="15"/>
      <c r="X27" s="15"/>
      <c r="Y27" s="15"/>
      <c r="Z27" s="15"/>
      <c r="AA27" s="15" t="str">
        <f t="shared" si="11"/>
        <v>WO</v>
      </c>
      <c r="AB27" s="15"/>
      <c r="AC27" s="15"/>
      <c r="AD27" s="15"/>
      <c r="AE27" s="15"/>
      <c r="AF27" s="15"/>
      <c r="AG27" s="15"/>
      <c r="AH27" s="15" t="str">
        <f t="shared" si="11"/>
        <v>WO</v>
      </c>
      <c r="AI27" s="15"/>
      <c r="AJ27" s="15"/>
      <c r="AK27" s="15"/>
      <c r="AL27" s="15"/>
      <c r="AM27" s="15"/>
      <c r="AN27" s="15"/>
      <c r="AO27" s="16" t="str">
        <f t="shared" si="11"/>
        <v>WO</v>
      </c>
      <c r="AP27" s="40"/>
      <c r="AQ27" s="38"/>
      <c r="AR27" s="34">
        <v>19</v>
      </c>
      <c r="AS27" s="35" t="s">
        <v>50</v>
      </c>
      <c r="AT27" s="28" t="str">
        <f t="shared" si="4"/>
        <v>May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5</v>
      </c>
      <c r="AZ27" s="30">
        <f t="shared" si="9"/>
        <v>31</v>
      </c>
      <c r="BA27" s="30">
        <f>may_repo[[#This Row],[Days]]-may_repo[[#This Row],[Absent]]</f>
        <v>31</v>
      </c>
      <c r="BB27" s="31">
        <v>0</v>
      </c>
      <c r="BC27" s="32">
        <f>may_repo[[#This Row],[Salary]]/may_repo[[#This Row],[Days]]</f>
        <v>0</v>
      </c>
      <c r="BD27" s="30">
        <f>may_repo[[#This Row],[Per Day Salary]]*may_repo[[#This Row],[Absent]]</f>
        <v>0</v>
      </c>
      <c r="BE27" s="30">
        <f>may_repo[[#This Row],[Salary]]-may_repo[[#This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5</v>
      </c>
      <c r="K28" s="15"/>
      <c r="L28" s="15"/>
      <c r="M28" s="15" t="str">
        <f t="shared" si="12"/>
        <v>WO</v>
      </c>
      <c r="N28" s="15"/>
      <c r="O28" s="15"/>
      <c r="P28" s="15"/>
      <c r="Q28" s="15"/>
      <c r="R28" s="15"/>
      <c r="S28" s="15"/>
      <c r="T28" s="15" t="str">
        <f t="shared" si="12"/>
        <v>WO</v>
      </c>
      <c r="U28" s="15"/>
      <c r="V28" s="15"/>
      <c r="W28" s="15"/>
      <c r="X28" s="15"/>
      <c r="Y28" s="15"/>
      <c r="Z28" s="15"/>
      <c r="AA28" s="15" t="str">
        <f t="shared" si="11"/>
        <v>WO</v>
      </c>
      <c r="AB28" s="15"/>
      <c r="AC28" s="15"/>
      <c r="AD28" s="15"/>
      <c r="AE28" s="15"/>
      <c r="AF28" s="15"/>
      <c r="AG28" s="15"/>
      <c r="AH28" s="15" t="str">
        <f t="shared" si="11"/>
        <v>WO</v>
      </c>
      <c r="AI28" s="15"/>
      <c r="AJ28" s="15"/>
      <c r="AK28" s="15"/>
      <c r="AL28" s="15"/>
      <c r="AM28" s="15"/>
      <c r="AN28" s="15"/>
      <c r="AO28" s="16" t="str">
        <f t="shared" si="11"/>
        <v>WO</v>
      </c>
      <c r="AP28" s="40"/>
      <c r="AQ28" s="38"/>
      <c r="AR28" s="34">
        <v>20</v>
      </c>
      <c r="AS28" s="35" t="s">
        <v>51</v>
      </c>
      <c r="AT28" s="28" t="str">
        <f t="shared" si="4"/>
        <v>May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5</v>
      </c>
      <c r="AZ28" s="30">
        <f t="shared" si="9"/>
        <v>31</v>
      </c>
      <c r="BA28" s="30">
        <f>may_repo[[#This Row],[Days]]-may_repo[[#This Row],[Absent]]</f>
        <v>31</v>
      </c>
      <c r="BB28" s="31">
        <v>0</v>
      </c>
      <c r="BC28" s="32">
        <f>may_repo[[#This Row],[Salary]]/may_repo[[#This Row],[Days]]</f>
        <v>0</v>
      </c>
      <c r="BD28" s="30">
        <f>may_repo[[#This Row],[Per Day Salary]]*may_repo[[#This Row],[Absent]]</f>
        <v>0</v>
      </c>
      <c r="BE28" s="30">
        <f>may_repo[[#This Row],[Salary]]-may_repo[[#This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5</v>
      </c>
      <c r="K29" s="15"/>
      <c r="L29" s="15"/>
      <c r="M29" s="15" t="str">
        <f t="shared" si="12"/>
        <v>WO</v>
      </c>
      <c r="N29" s="15"/>
      <c r="O29" s="15"/>
      <c r="P29" s="15"/>
      <c r="Q29" s="15"/>
      <c r="R29" s="15"/>
      <c r="S29" s="15"/>
      <c r="T29" s="15" t="str">
        <f t="shared" si="12"/>
        <v>WO</v>
      </c>
      <c r="U29" s="15"/>
      <c r="V29" s="15"/>
      <c r="W29" s="15"/>
      <c r="X29" s="15"/>
      <c r="Y29" s="15"/>
      <c r="Z29" s="15"/>
      <c r="AA29" s="15" t="str">
        <f t="shared" si="11"/>
        <v>WO</v>
      </c>
      <c r="AB29" s="15"/>
      <c r="AC29" s="15"/>
      <c r="AD29" s="15"/>
      <c r="AE29" s="15"/>
      <c r="AF29" s="15"/>
      <c r="AG29" s="15"/>
      <c r="AH29" s="15" t="str">
        <f t="shared" si="11"/>
        <v>WO</v>
      </c>
      <c r="AI29" s="15"/>
      <c r="AJ29" s="15"/>
      <c r="AK29" s="15"/>
      <c r="AL29" s="15"/>
      <c r="AM29" s="15"/>
      <c r="AN29" s="15"/>
      <c r="AO29" s="16" t="str">
        <f t="shared" si="11"/>
        <v>WO</v>
      </c>
      <c r="AP29" s="40"/>
      <c r="AQ29" s="38"/>
      <c r="AR29" s="34">
        <v>21</v>
      </c>
      <c r="AS29" s="35" t="s">
        <v>52</v>
      </c>
      <c r="AT29" s="28" t="str">
        <f t="shared" si="4"/>
        <v>May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5</v>
      </c>
      <c r="AZ29" s="30">
        <f t="shared" si="9"/>
        <v>31</v>
      </c>
      <c r="BA29" s="30">
        <f>may_repo[[#This Row],[Days]]-may_repo[[#This Row],[Absent]]</f>
        <v>31</v>
      </c>
      <c r="BB29" s="31">
        <v>0</v>
      </c>
      <c r="BC29" s="32">
        <f>may_repo[[#This Row],[Salary]]/may_repo[[#This Row],[Days]]</f>
        <v>0</v>
      </c>
      <c r="BD29" s="30">
        <f>may_repo[[#This Row],[Per Day Salary]]*may_repo[[#This Row],[Absent]]</f>
        <v>0</v>
      </c>
      <c r="BE29" s="30">
        <f>may_repo[[#This Row],[Salary]]-may_repo[[#This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5</v>
      </c>
      <c r="K30" s="15"/>
      <c r="L30" s="15"/>
      <c r="M30" s="15" t="str">
        <f t="shared" si="12"/>
        <v>WO</v>
      </c>
      <c r="N30" s="15"/>
      <c r="O30" s="15"/>
      <c r="P30" s="15"/>
      <c r="Q30" s="15"/>
      <c r="R30" s="15"/>
      <c r="S30" s="15"/>
      <c r="T30" s="15" t="str">
        <f t="shared" si="12"/>
        <v>WO</v>
      </c>
      <c r="U30" s="15"/>
      <c r="V30" s="15"/>
      <c r="W30" s="15"/>
      <c r="X30" s="15"/>
      <c r="Y30" s="15"/>
      <c r="Z30" s="15"/>
      <c r="AA30" s="15" t="str">
        <f t="shared" si="11"/>
        <v>WO</v>
      </c>
      <c r="AB30" s="15"/>
      <c r="AC30" s="15"/>
      <c r="AD30" s="15"/>
      <c r="AE30" s="15"/>
      <c r="AF30" s="15"/>
      <c r="AG30" s="15"/>
      <c r="AH30" s="15" t="str">
        <f t="shared" si="11"/>
        <v>WO</v>
      </c>
      <c r="AI30" s="15"/>
      <c r="AJ30" s="15"/>
      <c r="AK30" s="15"/>
      <c r="AL30" s="15"/>
      <c r="AM30" s="15"/>
      <c r="AN30" s="15"/>
      <c r="AO30" s="16" t="str">
        <f t="shared" si="11"/>
        <v>WO</v>
      </c>
      <c r="AP30" s="40"/>
      <c r="AQ30" s="38"/>
      <c r="AR30" s="34">
        <v>22</v>
      </c>
      <c r="AS30" s="35" t="s">
        <v>53</v>
      </c>
      <c r="AT30" s="28" t="str">
        <f t="shared" si="4"/>
        <v>May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5</v>
      </c>
      <c r="AZ30" s="30">
        <f t="shared" si="9"/>
        <v>31</v>
      </c>
      <c r="BA30" s="30">
        <f>may_repo[[#This Row],[Days]]-may_repo[[#This Row],[Absent]]</f>
        <v>31</v>
      </c>
      <c r="BB30" s="31">
        <v>0</v>
      </c>
      <c r="BC30" s="32">
        <f>may_repo[[#This Row],[Salary]]/may_repo[[#This Row],[Days]]</f>
        <v>0</v>
      </c>
      <c r="BD30" s="30">
        <f>may_repo[[#This Row],[Per Day Salary]]*may_repo[[#This Row],[Absent]]</f>
        <v>0</v>
      </c>
      <c r="BE30" s="30">
        <f>may_repo[[#This Row],[Salary]]-may_repo[[#This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5</v>
      </c>
      <c r="K31" s="15"/>
      <c r="L31" s="15"/>
      <c r="M31" s="15" t="str">
        <f t="shared" si="12"/>
        <v>WO</v>
      </c>
      <c r="N31" s="15"/>
      <c r="O31" s="15"/>
      <c r="P31" s="15"/>
      <c r="Q31" s="15"/>
      <c r="R31" s="15"/>
      <c r="S31" s="15"/>
      <c r="T31" s="15" t="str">
        <f t="shared" si="12"/>
        <v>WO</v>
      </c>
      <c r="U31" s="15"/>
      <c r="V31" s="15"/>
      <c r="W31" s="15"/>
      <c r="X31" s="15"/>
      <c r="Y31" s="15"/>
      <c r="Z31" s="15"/>
      <c r="AA31" s="15" t="str">
        <f t="shared" si="11"/>
        <v>WO</v>
      </c>
      <c r="AB31" s="15"/>
      <c r="AC31" s="15"/>
      <c r="AD31" s="15"/>
      <c r="AE31" s="15"/>
      <c r="AF31" s="15"/>
      <c r="AG31" s="15"/>
      <c r="AH31" s="15" t="str">
        <f t="shared" si="11"/>
        <v>WO</v>
      </c>
      <c r="AI31" s="15"/>
      <c r="AJ31" s="15"/>
      <c r="AK31" s="15"/>
      <c r="AL31" s="15"/>
      <c r="AM31" s="15"/>
      <c r="AN31" s="15"/>
      <c r="AO31" s="16" t="str">
        <f t="shared" si="11"/>
        <v>WO</v>
      </c>
      <c r="AP31" s="40"/>
      <c r="AQ31" s="38"/>
      <c r="AR31" s="34">
        <v>23</v>
      </c>
      <c r="AS31" s="35" t="s">
        <v>54</v>
      </c>
      <c r="AT31" s="28" t="str">
        <f t="shared" si="4"/>
        <v>May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5</v>
      </c>
      <c r="AZ31" s="30">
        <f t="shared" si="9"/>
        <v>31</v>
      </c>
      <c r="BA31" s="30">
        <f>may_repo[[#This Row],[Days]]-may_repo[[#This Row],[Absent]]</f>
        <v>31</v>
      </c>
      <c r="BB31" s="31">
        <v>0</v>
      </c>
      <c r="BC31" s="32">
        <f>may_repo[[#This Row],[Salary]]/may_repo[[#This Row],[Days]]</f>
        <v>0</v>
      </c>
      <c r="BD31" s="30">
        <f>may_repo[[#This Row],[Per Day Salary]]*may_repo[[#This Row],[Absent]]</f>
        <v>0</v>
      </c>
      <c r="BE31" s="30">
        <f>may_repo[[#This Row],[Salary]]-may_repo[[#This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5</v>
      </c>
      <c r="K32" s="15"/>
      <c r="L32" s="15"/>
      <c r="M32" s="15" t="str">
        <f t="shared" si="12"/>
        <v>WO</v>
      </c>
      <c r="N32" s="15"/>
      <c r="O32" s="15"/>
      <c r="P32" s="15"/>
      <c r="Q32" s="15"/>
      <c r="R32" s="15"/>
      <c r="S32" s="15"/>
      <c r="T32" s="15" t="str">
        <f t="shared" si="12"/>
        <v>WO</v>
      </c>
      <c r="U32" s="15"/>
      <c r="V32" s="15"/>
      <c r="W32" s="15"/>
      <c r="X32" s="15"/>
      <c r="Y32" s="15"/>
      <c r="Z32" s="15"/>
      <c r="AA32" s="15" t="str">
        <f t="shared" si="11"/>
        <v>WO</v>
      </c>
      <c r="AB32" s="15"/>
      <c r="AC32" s="15"/>
      <c r="AD32" s="15"/>
      <c r="AE32" s="15"/>
      <c r="AF32" s="15"/>
      <c r="AG32" s="15"/>
      <c r="AH32" s="15" t="str">
        <f t="shared" si="11"/>
        <v>WO</v>
      </c>
      <c r="AI32" s="15"/>
      <c r="AJ32" s="15"/>
      <c r="AK32" s="15"/>
      <c r="AL32" s="15"/>
      <c r="AM32" s="15"/>
      <c r="AN32" s="15"/>
      <c r="AO32" s="16" t="str">
        <f t="shared" si="11"/>
        <v>WO</v>
      </c>
      <c r="AP32" s="40"/>
      <c r="AQ32" s="38"/>
      <c r="AR32" s="34">
        <v>24</v>
      </c>
      <c r="AS32" s="35" t="s">
        <v>55</v>
      </c>
      <c r="AT32" s="28" t="str">
        <f t="shared" si="4"/>
        <v>May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5</v>
      </c>
      <c r="AZ32" s="30">
        <f t="shared" si="9"/>
        <v>31</v>
      </c>
      <c r="BA32" s="30">
        <f>may_repo[[#This Row],[Days]]-may_repo[[#This Row],[Absent]]</f>
        <v>31</v>
      </c>
      <c r="BB32" s="31">
        <v>0</v>
      </c>
      <c r="BC32" s="32">
        <f>may_repo[[#This Row],[Salary]]/may_repo[[#This Row],[Days]]</f>
        <v>0</v>
      </c>
      <c r="BD32" s="30">
        <f>may_repo[[#This Row],[Per Day Salary]]*may_repo[[#This Row],[Absent]]</f>
        <v>0</v>
      </c>
      <c r="BE32" s="30">
        <f>may_repo[[#This Row],[Salary]]-may_repo[[#This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5</v>
      </c>
      <c r="K33" s="15"/>
      <c r="L33" s="15"/>
      <c r="M33" s="15" t="str">
        <f t="shared" si="12"/>
        <v>WO</v>
      </c>
      <c r="N33" s="15"/>
      <c r="O33" s="15"/>
      <c r="P33" s="15"/>
      <c r="Q33" s="15"/>
      <c r="R33" s="15"/>
      <c r="S33" s="15"/>
      <c r="T33" s="15" t="str">
        <f t="shared" ref="T33:AA38" si="13">IF(T$7="Sun","WO","")</f>
        <v>WO</v>
      </c>
      <c r="U33" s="15"/>
      <c r="V33" s="15"/>
      <c r="W33" s="15"/>
      <c r="X33" s="15"/>
      <c r="Y33" s="15"/>
      <c r="Z33" s="15"/>
      <c r="AA33" s="15" t="str">
        <f t="shared" si="13"/>
        <v>WO</v>
      </c>
      <c r="AB33" s="15"/>
      <c r="AC33" s="15"/>
      <c r="AD33" s="15"/>
      <c r="AE33" s="15"/>
      <c r="AF33" s="15"/>
      <c r="AG33" s="15"/>
      <c r="AH33" s="15" t="str">
        <f t="shared" si="11"/>
        <v>WO</v>
      </c>
      <c r="AI33" s="15"/>
      <c r="AJ33" s="15"/>
      <c r="AK33" s="15"/>
      <c r="AL33" s="15"/>
      <c r="AM33" s="15"/>
      <c r="AN33" s="15"/>
      <c r="AO33" s="16" t="str">
        <f t="shared" si="11"/>
        <v>WO</v>
      </c>
      <c r="AP33" s="40"/>
      <c r="AQ33" s="38"/>
      <c r="AR33" s="34">
        <v>25</v>
      </c>
      <c r="AS33" s="35" t="s">
        <v>56</v>
      </c>
      <c r="AT33" s="28" t="str">
        <f t="shared" si="4"/>
        <v>May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5</v>
      </c>
      <c r="AZ33" s="30">
        <f t="shared" si="9"/>
        <v>31</v>
      </c>
      <c r="BA33" s="30">
        <f>may_repo[[#This Row],[Days]]-may_repo[[#This Row],[Absent]]</f>
        <v>31</v>
      </c>
      <c r="BB33" s="31">
        <v>0</v>
      </c>
      <c r="BC33" s="32">
        <f>may_repo[[#This Row],[Salary]]/may_repo[[#This Row],[Days]]</f>
        <v>0</v>
      </c>
      <c r="BD33" s="30">
        <f>may_repo[[#This Row],[Per Day Salary]]*may_repo[[#This Row],[Absent]]</f>
        <v>0</v>
      </c>
      <c r="BE33" s="30">
        <f>may_repo[[#This Row],[Salary]]-may_repo[[#This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5</v>
      </c>
      <c r="K34" s="15"/>
      <c r="L34" s="15"/>
      <c r="M34" s="15" t="str">
        <f t="shared" ref="M34:T38" si="14">IF(M$7="Sun","WO","")</f>
        <v>WO</v>
      </c>
      <c r="N34" s="15"/>
      <c r="O34" s="15"/>
      <c r="P34" s="15"/>
      <c r="Q34" s="15"/>
      <c r="R34" s="15"/>
      <c r="S34" s="15"/>
      <c r="T34" s="15" t="str">
        <f t="shared" si="14"/>
        <v>WO</v>
      </c>
      <c r="U34" s="15"/>
      <c r="V34" s="15"/>
      <c r="W34" s="15"/>
      <c r="X34" s="15"/>
      <c r="Y34" s="15"/>
      <c r="Z34" s="15"/>
      <c r="AA34" s="15" t="str">
        <f t="shared" si="13"/>
        <v>WO</v>
      </c>
      <c r="AB34" s="15"/>
      <c r="AC34" s="15"/>
      <c r="AD34" s="15"/>
      <c r="AE34" s="15"/>
      <c r="AF34" s="15"/>
      <c r="AG34" s="15"/>
      <c r="AH34" s="15" t="str">
        <f t="shared" si="11"/>
        <v>WO</v>
      </c>
      <c r="AI34" s="15"/>
      <c r="AJ34" s="15"/>
      <c r="AK34" s="15"/>
      <c r="AL34" s="15"/>
      <c r="AM34" s="15"/>
      <c r="AN34" s="15"/>
      <c r="AO34" s="16" t="str">
        <f t="shared" ref="AO34" si="15">IF(AO$7="Sun","WO","")</f>
        <v>WO</v>
      </c>
      <c r="AP34" s="40"/>
      <c r="AQ34" s="38"/>
      <c r="AR34" s="34">
        <v>26</v>
      </c>
      <c r="AS34" s="35" t="s">
        <v>57</v>
      </c>
      <c r="AT34" s="28" t="str">
        <f t="shared" si="4"/>
        <v>May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5</v>
      </c>
      <c r="AZ34" s="30">
        <f t="shared" si="9"/>
        <v>31</v>
      </c>
      <c r="BA34" s="30">
        <f>may_repo[[#This Row],[Days]]-may_repo[[#This Row],[Absent]]</f>
        <v>31</v>
      </c>
      <c r="BB34" s="31">
        <v>0</v>
      </c>
      <c r="BC34" s="32">
        <f>may_repo[[#This Row],[Salary]]/may_repo[[#This Row],[Days]]</f>
        <v>0</v>
      </c>
      <c r="BD34" s="30">
        <f>may_repo[[#This Row],[Per Day Salary]]*may_repo[[#This Row],[Absent]]</f>
        <v>0</v>
      </c>
      <c r="BE34" s="30">
        <f>may_repo[[#This Row],[Salary]]-may_repo[[#This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5</v>
      </c>
      <c r="K35" s="15"/>
      <c r="L35" s="15"/>
      <c r="M35" s="15" t="str">
        <f t="shared" si="14"/>
        <v>WO</v>
      </c>
      <c r="N35" s="15"/>
      <c r="O35" s="15"/>
      <c r="P35" s="15"/>
      <c r="Q35" s="15"/>
      <c r="R35" s="15"/>
      <c r="S35" s="15"/>
      <c r="T35" s="15" t="str">
        <f t="shared" si="14"/>
        <v>WO</v>
      </c>
      <c r="U35" s="15"/>
      <c r="V35" s="15"/>
      <c r="W35" s="15"/>
      <c r="X35" s="15"/>
      <c r="Y35" s="15"/>
      <c r="Z35" s="15"/>
      <c r="AA35" s="15" t="str">
        <f t="shared" si="13"/>
        <v>WO</v>
      </c>
      <c r="AB35" s="15"/>
      <c r="AC35" s="15"/>
      <c r="AD35" s="15"/>
      <c r="AE35" s="15"/>
      <c r="AF35" s="15"/>
      <c r="AG35" s="15"/>
      <c r="AH35" s="15" t="str">
        <f t="shared" ref="AH35:AO38" si="16">IF(AH$7="Sun","WO","")</f>
        <v>WO</v>
      </c>
      <c r="AI35" s="15"/>
      <c r="AJ35" s="15"/>
      <c r="AK35" s="15"/>
      <c r="AL35" s="15"/>
      <c r="AM35" s="15"/>
      <c r="AN35" s="15"/>
      <c r="AO35" s="16" t="str">
        <f t="shared" si="16"/>
        <v>WO</v>
      </c>
      <c r="AP35" s="40"/>
      <c r="AQ35" s="38"/>
      <c r="AR35" s="34">
        <v>27</v>
      </c>
      <c r="AS35" s="35" t="s">
        <v>58</v>
      </c>
      <c r="AT35" s="28" t="str">
        <f t="shared" si="4"/>
        <v>May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5</v>
      </c>
      <c r="AZ35" s="30">
        <f t="shared" si="9"/>
        <v>31</v>
      </c>
      <c r="BA35" s="30">
        <f>may_repo[[#This Row],[Days]]-may_repo[[#This Row],[Absent]]</f>
        <v>31</v>
      </c>
      <c r="BB35" s="31">
        <v>0</v>
      </c>
      <c r="BC35" s="32">
        <f>may_repo[[#This Row],[Salary]]/may_repo[[#This Row],[Days]]</f>
        <v>0</v>
      </c>
      <c r="BD35" s="30">
        <f>may_repo[[#This Row],[Per Day Salary]]*may_repo[[#This Row],[Absent]]</f>
        <v>0</v>
      </c>
      <c r="BE35" s="30">
        <f>may_repo[[#This Row],[Salary]]-may_repo[[#This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5</v>
      </c>
      <c r="K36" s="15"/>
      <c r="L36" s="15"/>
      <c r="M36" s="15" t="str">
        <f t="shared" si="14"/>
        <v>WO</v>
      </c>
      <c r="N36" s="15"/>
      <c r="O36" s="15"/>
      <c r="P36" s="15"/>
      <c r="Q36" s="15"/>
      <c r="R36" s="15"/>
      <c r="S36" s="15"/>
      <c r="T36" s="15" t="str">
        <f t="shared" si="14"/>
        <v>WO</v>
      </c>
      <c r="U36" s="15"/>
      <c r="V36" s="15"/>
      <c r="W36" s="15"/>
      <c r="X36" s="15"/>
      <c r="Y36" s="15"/>
      <c r="Z36" s="15"/>
      <c r="AA36" s="15" t="str">
        <f t="shared" si="13"/>
        <v>WO</v>
      </c>
      <c r="AB36" s="15"/>
      <c r="AC36" s="15"/>
      <c r="AD36" s="15"/>
      <c r="AE36" s="15"/>
      <c r="AF36" s="15"/>
      <c r="AG36" s="15"/>
      <c r="AH36" s="15" t="str">
        <f t="shared" si="16"/>
        <v>WO</v>
      </c>
      <c r="AI36" s="15"/>
      <c r="AJ36" s="15"/>
      <c r="AK36" s="15"/>
      <c r="AL36" s="15"/>
      <c r="AM36" s="15"/>
      <c r="AN36" s="15"/>
      <c r="AO36" s="16" t="str">
        <f t="shared" si="16"/>
        <v>WO</v>
      </c>
      <c r="AP36" s="40"/>
      <c r="AQ36" s="38"/>
      <c r="AR36" s="34">
        <v>28</v>
      </c>
      <c r="AS36" s="35" t="s">
        <v>59</v>
      </c>
      <c r="AT36" s="28" t="str">
        <f t="shared" si="4"/>
        <v>May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5</v>
      </c>
      <c r="AZ36" s="30">
        <f t="shared" si="9"/>
        <v>31</v>
      </c>
      <c r="BA36" s="30">
        <f>may_repo[[#This Row],[Days]]-may_repo[[#This Row],[Absent]]</f>
        <v>31</v>
      </c>
      <c r="BB36" s="31">
        <v>0</v>
      </c>
      <c r="BC36" s="32">
        <f>may_repo[[#This Row],[Salary]]/may_repo[[#This Row],[Days]]</f>
        <v>0</v>
      </c>
      <c r="BD36" s="30">
        <f>may_repo[[#This Row],[Per Day Salary]]*may_repo[[#This Row],[Absent]]</f>
        <v>0</v>
      </c>
      <c r="BE36" s="30">
        <f>may_repo[[#This Row],[Salary]]-may_repo[[#This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5</v>
      </c>
      <c r="K37" s="15"/>
      <c r="L37" s="15"/>
      <c r="M37" s="15" t="str">
        <f t="shared" si="14"/>
        <v>WO</v>
      </c>
      <c r="N37" s="15"/>
      <c r="O37" s="15"/>
      <c r="P37" s="15"/>
      <c r="Q37" s="15"/>
      <c r="R37" s="15"/>
      <c r="S37" s="15"/>
      <c r="T37" s="15" t="str">
        <f t="shared" si="14"/>
        <v>WO</v>
      </c>
      <c r="U37" s="15"/>
      <c r="V37" s="15"/>
      <c r="W37" s="15"/>
      <c r="X37" s="15"/>
      <c r="Y37" s="15"/>
      <c r="Z37" s="15"/>
      <c r="AA37" s="15" t="str">
        <f t="shared" si="13"/>
        <v>WO</v>
      </c>
      <c r="AB37" s="15"/>
      <c r="AC37" s="15"/>
      <c r="AD37" s="15"/>
      <c r="AE37" s="15"/>
      <c r="AF37" s="15"/>
      <c r="AG37" s="15"/>
      <c r="AH37" s="15" t="str">
        <f t="shared" si="16"/>
        <v>WO</v>
      </c>
      <c r="AI37" s="15"/>
      <c r="AJ37" s="15"/>
      <c r="AK37" s="15"/>
      <c r="AL37" s="15"/>
      <c r="AM37" s="15"/>
      <c r="AN37" s="15"/>
      <c r="AO37" s="16" t="str">
        <f t="shared" si="16"/>
        <v>WO</v>
      </c>
      <c r="AP37" s="40"/>
      <c r="AQ37" s="38"/>
      <c r="AR37" s="34">
        <v>29</v>
      </c>
      <c r="AS37" s="35" t="s">
        <v>60</v>
      </c>
      <c r="AT37" s="28" t="str">
        <f t="shared" si="4"/>
        <v>May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5</v>
      </c>
      <c r="AZ37" s="30">
        <f t="shared" si="9"/>
        <v>31</v>
      </c>
      <c r="BA37" s="30">
        <f>may_repo[[#This Row],[Days]]-may_repo[[#This Row],[Absent]]</f>
        <v>31</v>
      </c>
      <c r="BB37" s="31">
        <v>0</v>
      </c>
      <c r="BC37" s="32">
        <f>may_repo[[#This Row],[Salary]]/may_repo[[#This Row],[Days]]</f>
        <v>0</v>
      </c>
      <c r="BD37" s="30">
        <f>may_repo[[#This Row],[Per Day Salary]]*may_repo[[#This Row],[Absent]]</f>
        <v>0</v>
      </c>
      <c r="BE37" s="30">
        <f>may_repo[[#This Row],[Salary]]-may_repo[[#This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5</v>
      </c>
      <c r="K38" s="21"/>
      <c r="L38" s="21"/>
      <c r="M38" s="21" t="str">
        <f t="shared" si="14"/>
        <v>WO</v>
      </c>
      <c r="N38" s="21"/>
      <c r="O38" s="21"/>
      <c r="P38" s="21"/>
      <c r="Q38" s="21"/>
      <c r="R38" s="21"/>
      <c r="S38" s="21"/>
      <c r="T38" s="21" t="str">
        <f t="shared" si="14"/>
        <v>WO</v>
      </c>
      <c r="U38" s="21"/>
      <c r="V38" s="21"/>
      <c r="W38" s="21"/>
      <c r="X38" s="21"/>
      <c r="Y38" s="21"/>
      <c r="Z38" s="21"/>
      <c r="AA38" s="21" t="str">
        <f t="shared" si="13"/>
        <v>WO</v>
      </c>
      <c r="AB38" s="21"/>
      <c r="AC38" s="21"/>
      <c r="AD38" s="21"/>
      <c r="AE38" s="21"/>
      <c r="AF38" s="21"/>
      <c r="AG38" s="21"/>
      <c r="AH38" s="21" t="str">
        <f t="shared" si="16"/>
        <v>WO</v>
      </c>
      <c r="AI38" s="21"/>
      <c r="AJ38" s="21"/>
      <c r="AK38" s="21"/>
      <c r="AL38" s="21"/>
      <c r="AM38" s="21"/>
      <c r="AN38" s="21"/>
      <c r="AO38" s="22" t="str">
        <f t="shared" si="16"/>
        <v>WO</v>
      </c>
      <c r="AP38" s="40"/>
      <c r="AQ38" s="38"/>
      <c r="AR38" s="36">
        <v>30</v>
      </c>
      <c r="AS38" s="37" t="s">
        <v>61</v>
      </c>
      <c r="AT38" s="28" t="str">
        <f t="shared" si="4"/>
        <v>May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5</v>
      </c>
      <c r="AZ38" s="30">
        <f t="shared" si="9"/>
        <v>31</v>
      </c>
      <c r="BA38" s="30">
        <f>may_repo[[#This Row],[Days]]-may_repo[[#This Row],[Absent]]</f>
        <v>31</v>
      </c>
      <c r="BB38" s="31">
        <v>0</v>
      </c>
      <c r="BC38" s="32">
        <f>may_repo[[#This Row],[Salary]]/may_repo[[#This Row],[Days]]</f>
        <v>0</v>
      </c>
      <c r="BD38" s="30">
        <f>may_repo[[#This Row],[Per Day Salary]]*may_repo[[#This Row],[Absent]]</f>
        <v>0</v>
      </c>
      <c r="BE38" s="30">
        <f>may_repo[[#This Row],[Salary]]-may_repo[[#This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247" priority="12" operator="containsText" text="WO">
      <formula>NOT(ISERROR(SEARCH("WO",H5)))</formula>
    </cfRule>
  </conditionalFormatting>
  <conditionalFormatting sqref="K9">
    <cfRule type="containsText" dxfId="246" priority="5" operator="containsText" text="L">
      <formula>NOT(ISERROR(SEARCH("L",K9)))</formula>
    </cfRule>
    <cfRule type="containsText" dxfId="245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244" priority="9" operator="containsText" text="WO">
      <formula>NOT(ISERROR(SEARCH("WO",A1)))</formula>
    </cfRule>
    <cfRule type="containsText" dxfId="243" priority="10" operator="containsText" text="WO">
      <formula>NOT(ISERROR(SEARCH("WO",A1)))</formula>
    </cfRule>
  </conditionalFormatting>
  <conditionalFormatting sqref="K9:AO38">
    <cfRule type="containsText" dxfId="242" priority="6" operator="containsText" text="L">
      <formula>NOT(ISERROR(SEARCH("L",K9)))</formula>
    </cfRule>
    <cfRule type="containsText" dxfId="241" priority="7" operator="containsText" text="A">
      <formula>NOT(ISERROR(SEARCH("A",K9)))</formula>
    </cfRule>
    <cfRule type="containsText" dxfId="240" priority="8" operator="containsText" text="P">
      <formula>NOT(ISERROR(SEARCH("P",K9)))</formula>
    </cfRule>
  </conditionalFormatting>
  <conditionalFormatting sqref="BB9:BB38">
    <cfRule type="containsText" dxfId="239" priority="3" operator="containsText" text="WO">
      <formula>NOT(ISERROR(SEARCH("WO",BB9)))</formula>
    </cfRule>
    <cfRule type="containsText" dxfId="238" priority="4" operator="containsText" text="WO">
      <formula>NOT(ISERROR(SEARCH("WO",BB9)))</formula>
    </cfRule>
  </conditionalFormatting>
  <conditionalFormatting sqref="I9:I12">
    <cfRule type="containsText" dxfId="237" priority="1" operator="containsText" text="WO">
      <formula>NOT(ISERROR(SEARCH("WO",I9)))</formula>
    </cfRule>
    <cfRule type="containsText" dxfId="236" priority="2" operator="containsText" text="WO">
      <formula>NOT(ISERROR(SEARCH("WO",I9)))</formula>
    </cfRule>
  </conditionalFormatting>
  <dataValidations count="1">
    <dataValidation type="list" allowBlank="1" showInputMessage="1" showErrorMessage="1" sqref="K9:L38 N9:S38 U9:Z38 AB9:AG38 AI9:AN38" xr:uid="{00000000-0002-0000-04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400-000004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MAY!AV9:AY9</xm:f>
              <xm:sqref>BF9</xm:sqref>
            </x14:sparkline>
            <x14:sparkline>
              <xm:f>MAY!AV10:AY10</xm:f>
              <xm:sqref>BF10</xm:sqref>
            </x14:sparkline>
            <x14:sparkline>
              <xm:f>MAY!AV11:AY11</xm:f>
              <xm:sqref>BF11</xm:sqref>
            </x14:sparkline>
            <x14:sparkline>
              <xm:f>MAY!AV12:AY12</xm:f>
              <xm:sqref>BF12</xm:sqref>
            </x14:sparkline>
            <x14:sparkline>
              <xm:f>MAY!AV13:AY13</xm:f>
              <xm:sqref>BF13</xm:sqref>
            </x14:sparkline>
            <x14:sparkline>
              <xm:f>MAY!AV14:AY14</xm:f>
              <xm:sqref>BF14</xm:sqref>
            </x14:sparkline>
            <x14:sparkline>
              <xm:f>MAY!AV15:AY15</xm:f>
              <xm:sqref>BF15</xm:sqref>
            </x14:sparkline>
            <x14:sparkline>
              <xm:f>MAY!AV16:AY16</xm:f>
              <xm:sqref>BF16</xm:sqref>
            </x14:sparkline>
            <x14:sparkline>
              <xm:f>MAY!AV17:AY17</xm:f>
              <xm:sqref>BF17</xm:sqref>
            </x14:sparkline>
            <x14:sparkline>
              <xm:f>MAY!AV18:AY18</xm:f>
              <xm:sqref>BF18</xm:sqref>
            </x14:sparkline>
            <x14:sparkline>
              <xm:f>MAY!AV19:AY19</xm:f>
              <xm:sqref>BF19</xm:sqref>
            </x14:sparkline>
            <x14:sparkline>
              <xm:f>MAY!AV20:AY20</xm:f>
              <xm:sqref>BF20</xm:sqref>
            </x14:sparkline>
            <x14:sparkline>
              <xm:f>MAY!AV21:AY21</xm:f>
              <xm:sqref>BF21</xm:sqref>
            </x14:sparkline>
            <x14:sparkline>
              <xm:f>MAY!AV22:AY22</xm:f>
              <xm:sqref>BF22</xm:sqref>
            </x14:sparkline>
            <x14:sparkline>
              <xm:f>MAY!AV23:AY23</xm:f>
              <xm:sqref>BF23</xm:sqref>
            </x14:sparkline>
            <x14:sparkline>
              <xm:f>MAY!AV24:AY24</xm:f>
              <xm:sqref>BF24</xm:sqref>
            </x14:sparkline>
            <x14:sparkline>
              <xm:f>MAY!AV25:AY25</xm:f>
              <xm:sqref>BF25</xm:sqref>
            </x14:sparkline>
            <x14:sparkline>
              <xm:f>MAY!AV26:AY26</xm:f>
              <xm:sqref>BF26</xm:sqref>
            </x14:sparkline>
            <x14:sparkline>
              <xm:f>MAY!AV27:AY27</xm:f>
              <xm:sqref>BF27</xm:sqref>
            </x14:sparkline>
            <x14:sparkline>
              <xm:f>MAY!AV28:AY28</xm:f>
              <xm:sqref>BF28</xm:sqref>
            </x14:sparkline>
            <x14:sparkline>
              <xm:f>MAY!AV29:AY29</xm:f>
              <xm:sqref>BF29</xm:sqref>
            </x14:sparkline>
            <x14:sparkline>
              <xm:f>MAY!AV30:AY30</xm:f>
              <xm:sqref>BF30</xm:sqref>
            </x14:sparkline>
            <x14:sparkline>
              <xm:f>MAY!AV31:AY31</xm:f>
              <xm:sqref>BF31</xm:sqref>
            </x14:sparkline>
            <x14:sparkline>
              <xm:f>MAY!AV32:AY32</xm:f>
              <xm:sqref>BF32</xm:sqref>
            </x14:sparkline>
            <x14:sparkline>
              <xm:f>MAY!AV33:AY33</xm:f>
              <xm:sqref>BF33</xm:sqref>
            </x14:sparkline>
            <x14:sparkline>
              <xm:f>MAY!AV34:AY34</xm:f>
              <xm:sqref>BF34</xm:sqref>
            </x14:sparkline>
            <x14:sparkline>
              <xm:f>MAY!AV35:AY35</xm:f>
              <xm:sqref>BF35</xm:sqref>
            </x14:sparkline>
            <x14:sparkline>
              <xm:f>MAY!AV36:AY36</xm:f>
              <xm:sqref>BF36</xm:sqref>
            </x14:sparkline>
            <x14:sparkline>
              <xm:f>MAY!AV37:AY37</xm:f>
              <xm:sqref>BF37</xm:sqref>
            </x14:sparkline>
            <x14:sparkline>
              <xm:f>MAY!AV38:AY38</xm:f>
              <xm:sqref>BF38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Z163"/>
  <sheetViews>
    <sheetView topLeftCell="H11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46174</v>
      </c>
      <c r="I5" s="42">
        <f>(DATEDIF($H$5,$L$5,"D"))+1</f>
        <v>30</v>
      </c>
      <c r="J5" s="42" t="str">
        <f>TEXT(H5,"MMMM")</f>
        <v>June</v>
      </c>
      <c r="K5" s="42" t="s">
        <v>64</v>
      </c>
      <c r="L5" s="46">
        <f>EOMONTH(H5,0)</f>
        <v>46203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Mon</v>
      </c>
      <c r="L7" s="4" t="str">
        <f t="shared" ref="L7:AO7" si="0">TEXT(L8,"DDD")</f>
        <v>Tue</v>
      </c>
      <c r="M7" s="4" t="str">
        <f t="shared" si="0"/>
        <v>Wed</v>
      </c>
      <c r="N7" s="4" t="str">
        <f t="shared" si="0"/>
        <v>Thu</v>
      </c>
      <c r="O7" s="4" t="str">
        <f t="shared" si="0"/>
        <v>Fri</v>
      </c>
      <c r="P7" s="4" t="str">
        <f t="shared" si="0"/>
        <v>Sat</v>
      </c>
      <c r="Q7" s="4" t="str">
        <f t="shared" si="0"/>
        <v>Sun</v>
      </c>
      <c r="R7" s="4" t="str">
        <f t="shared" si="0"/>
        <v>Mon</v>
      </c>
      <c r="S7" s="4" t="str">
        <f t="shared" si="0"/>
        <v>Tue</v>
      </c>
      <c r="T7" s="4" t="str">
        <f t="shared" si="0"/>
        <v>Wed</v>
      </c>
      <c r="U7" s="4" t="str">
        <f t="shared" si="0"/>
        <v>Thu</v>
      </c>
      <c r="V7" s="4" t="str">
        <f t="shared" si="0"/>
        <v>Fri</v>
      </c>
      <c r="W7" s="4" t="str">
        <f t="shared" si="0"/>
        <v>Sat</v>
      </c>
      <c r="X7" s="4" t="str">
        <f t="shared" si="0"/>
        <v>Sun</v>
      </c>
      <c r="Y7" s="4" t="str">
        <f t="shared" si="0"/>
        <v>Mon</v>
      </c>
      <c r="Z7" s="4" t="str">
        <f t="shared" si="0"/>
        <v>Tue</v>
      </c>
      <c r="AA7" s="4" t="str">
        <f t="shared" si="0"/>
        <v>Wed</v>
      </c>
      <c r="AB7" s="4" t="str">
        <f t="shared" si="0"/>
        <v>Thu</v>
      </c>
      <c r="AC7" s="4" t="str">
        <f t="shared" si="0"/>
        <v>Fri</v>
      </c>
      <c r="AD7" s="4" t="str">
        <f t="shared" si="0"/>
        <v>Sat</v>
      </c>
      <c r="AE7" s="4" t="str">
        <f t="shared" si="0"/>
        <v>Sun</v>
      </c>
      <c r="AF7" s="4" t="str">
        <f t="shared" si="0"/>
        <v>Mon</v>
      </c>
      <c r="AG7" s="4" t="str">
        <f t="shared" si="0"/>
        <v>Tue</v>
      </c>
      <c r="AH7" s="4" t="str">
        <f t="shared" si="0"/>
        <v>Wed</v>
      </c>
      <c r="AI7" s="4" t="str">
        <f t="shared" si="0"/>
        <v>Thu</v>
      </c>
      <c r="AJ7" s="4" t="str">
        <f t="shared" si="0"/>
        <v>Fri</v>
      </c>
      <c r="AK7" s="4" t="str">
        <f t="shared" si="0"/>
        <v>Sat</v>
      </c>
      <c r="AL7" s="4" t="str">
        <f t="shared" si="0"/>
        <v>Sun</v>
      </c>
      <c r="AM7" s="4" t="str">
        <f t="shared" si="0"/>
        <v>Mon</v>
      </c>
      <c r="AN7" s="4" t="str">
        <f t="shared" si="0"/>
        <v>Tue</v>
      </c>
      <c r="AO7" s="4" t="str">
        <f t="shared" si="0"/>
        <v>Wed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46174</v>
      </c>
      <c r="L8" s="9">
        <f>IF(K8&lt;$L$5,K8+1,"")</f>
        <v>46175</v>
      </c>
      <c r="M8" s="9">
        <f t="shared" ref="M8:AM8" si="1">IF(L8&lt;$L$5,L8+1,"")</f>
        <v>46176</v>
      </c>
      <c r="N8" s="9">
        <f t="shared" si="1"/>
        <v>46177</v>
      </c>
      <c r="O8" s="9">
        <f t="shared" si="1"/>
        <v>46178</v>
      </c>
      <c r="P8" s="9">
        <f t="shared" si="1"/>
        <v>46179</v>
      </c>
      <c r="Q8" s="9">
        <f t="shared" si="1"/>
        <v>46180</v>
      </c>
      <c r="R8" s="9">
        <f t="shared" si="1"/>
        <v>46181</v>
      </c>
      <c r="S8" s="9">
        <f t="shared" si="1"/>
        <v>46182</v>
      </c>
      <c r="T8" s="9">
        <f t="shared" si="1"/>
        <v>46183</v>
      </c>
      <c r="U8" s="9">
        <f t="shared" si="1"/>
        <v>46184</v>
      </c>
      <c r="V8" s="9">
        <f t="shared" si="1"/>
        <v>46185</v>
      </c>
      <c r="W8" s="9">
        <f t="shared" si="1"/>
        <v>46186</v>
      </c>
      <c r="X8" s="9">
        <f t="shared" si="1"/>
        <v>46187</v>
      </c>
      <c r="Y8" s="9">
        <f t="shared" si="1"/>
        <v>46188</v>
      </c>
      <c r="Z8" s="9">
        <f t="shared" si="1"/>
        <v>46189</v>
      </c>
      <c r="AA8" s="9">
        <f t="shared" si="1"/>
        <v>46190</v>
      </c>
      <c r="AB8" s="9">
        <f t="shared" si="1"/>
        <v>46191</v>
      </c>
      <c r="AC8" s="9">
        <f t="shared" si="1"/>
        <v>46192</v>
      </c>
      <c r="AD8" s="9">
        <f t="shared" si="1"/>
        <v>46193</v>
      </c>
      <c r="AE8" s="9">
        <f t="shared" si="1"/>
        <v>46194</v>
      </c>
      <c r="AF8" s="9">
        <f t="shared" si="1"/>
        <v>46195</v>
      </c>
      <c r="AG8" s="9">
        <f t="shared" si="1"/>
        <v>46196</v>
      </c>
      <c r="AH8" s="9">
        <f t="shared" si="1"/>
        <v>46197</v>
      </c>
      <c r="AI8" s="9">
        <f t="shared" si="1"/>
        <v>46198</v>
      </c>
      <c r="AJ8" s="9">
        <f t="shared" si="1"/>
        <v>46199</v>
      </c>
      <c r="AK8" s="9">
        <f t="shared" si="1"/>
        <v>46200</v>
      </c>
      <c r="AL8" s="9">
        <f t="shared" si="1"/>
        <v>46201</v>
      </c>
      <c r="AM8" s="9">
        <f t="shared" si="1"/>
        <v>46202</v>
      </c>
      <c r="AN8" s="9">
        <f t="shared" ref="AN8:AO8" si="2">IF(AM8&lt;=$L$5,AM8+1,"")</f>
        <v>46203</v>
      </c>
      <c r="AO8" s="10">
        <f t="shared" si="2"/>
        <v>46204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/>
      <c r="O9" s="15"/>
      <c r="P9" s="15"/>
      <c r="Q9" s="15" t="str">
        <f t="shared" ref="Q9:AL17" si="3">IF(Q$7="Sun","WO","")</f>
        <v>WO</v>
      </c>
      <c r="R9" s="15"/>
      <c r="S9" s="15"/>
      <c r="T9" s="15"/>
      <c r="U9" s="15"/>
      <c r="V9" s="15"/>
      <c r="W9" s="15"/>
      <c r="X9" s="15" t="str">
        <f t="shared" si="3"/>
        <v>WO</v>
      </c>
      <c r="Y9" s="15"/>
      <c r="Z9" s="15"/>
      <c r="AA9" s="15"/>
      <c r="AB9" s="15"/>
      <c r="AC9" s="15"/>
      <c r="AD9" s="15"/>
      <c r="AE9" s="15" t="str">
        <f t="shared" si="3"/>
        <v>WO</v>
      </c>
      <c r="AF9" s="15"/>
      <c r="AG9" s="15"/>
      <c r="AH9" s="15"/>
      <c r="AI9" s="15"/>
      <c r="AJ9" s="15"/>
      <c r="AK9" s="15"/>
      <c r="AL9" s="15" t="str">
        <f t="shared" si="3"/>
        <v>WO</v>
      </c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June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30</v>
      </c>
      <c r="BA9" s="30">
        <f>jun_repo[[#This Row],[Days]]-jun_repo[[#This Row],[Absent]]</f>
        <v>30</v>
      </c>
      <c r="BB9" s="31">
        <v>11000</v>
      </c>
      <c r="BC9" s="32">
        <f>jun_repo[[#This Row],[Salary]]/jun_repo[[#This Row],[Days]]</f>
        <v>366.66666666666669</v>
      </c>
      <c r="BD9" s="30">
        <f>jun_repo[[#This Row],[Per Day Salary]]*jun_repo[[#This Row],[Absent]]</f>
        <v>0</v>
      </c>
      <c r="BE9" s="30">
        <f>jun_repo[[#This Row],[Salary]]-jun_repo[[#This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/>
      <c r="O10" s="15"/>
      <c r="P10" s="15"/>
      <c r="Q10" s="15" t="str">
        <f t="shared" si="3"/>
        <v>WO</v>
      </c>
      <c r="R10" s="15"/>
      <c r="S10" s="15"/>
      <c r="T10" s="15"/>
      <c r="U10" s="15"/>
      <c r="V10" s="15"/>
      <c r="W10" s="15"/>
      <c r="X10" s="15" t="str">
        <f t="shared" si="3"/>
        <v>WO</v>
      </c>
      <c r="Y10" s="15"/>
      <c r="Z10" s="15"/>
      <c r="AA10" s="15"/>
      <c r="AB10" s="15"/>
      <c r="AC10" s="15"/>
      <c r="AD10" s="15"/>
      <c r="AE10" s="15" t="str">
        <f t="shared" si="3"/>
        <v>WO</v>
      </c>
      <c r="AF10" s="15"/>
      <c r="AG10" s="15"/>
      <c r="AH10" s="15"/>
      <c r="AI10" s="15"/>
      <c r="AJ10" s="15"/>
      <c r="AK10" s="15"/>
      <c r="AL10" s="15" t="str">
        <f t="shared" si="3"/>
        <v>WO</v>
      </c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June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30</v>
      </c>
      <c r="BA10" s="30">
        <f>jun_repo[[#This Row],[Days]]-jun_repo[[#This Row],[Absent]]</f>
        <v>30</v>
      </c>
      <c r="BB10" s="31">
        <v>11000</v>
      </c>
      <c r="BC10" s="32">
        <f>jun_repo[[#This Row],[Salary]]/jun_repo[[#This Row],[Days]]</f>
        <v>366.66666666666669</v>
      </c>
      <c r="BD10" s="30">
        <f>jun_repo[[#This Row],[Per Day Salary]]*jun_repo[[#This Row],[Absent]]</f>
        <v>0</v>
      </c>
      <c r="BE10" s="30">
        <f>jun_repo[[#This Row],[Salary]]-jun_repo[[#This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/>
      <c r="O11" s="15"/>
      <c r="P11" s="15"/>
      <c r="Q11" s="15" t="str">
        <f t="shared" si="3"/>
        <v>WO</v>
      </c>
      <c r="R11" s="15"/>
      <c r="S11" s="15"/>
      <c r="T11" s="15"/>
      <c r="U11" s="15"/>
      <c r="V11" s="15"/>
      <c r="W11" s="15"/>
      <c r="X11" s="15" t="str">
        <f t="shared" si="3"/>
        <v>WO</v>
      </c>
      <c r="Y11" s="15"/>
      <c r="Z11" s="15"/>
      <c r="AA11" s="15"/>
      <c r="AB11" s="15"/>
      <c r="AC11" s="15"/>
      <c r="AD11" s="15"/>
      <c r="AE11" s="15" t="str">
        <f t="shared" si="3"/>
        <v>WO</v>
      </c>
      <c r="AF11" s="15"/>
      <c r="AG11" s="15"/>
      <c r="AH11" s="15"/>
      <c r="AI11" s="15"/>
      <c r="AJ11" s="15"/>
      <c r="AK11" s="15"/>
      <c r="AL11" s="15" t="str">
        <f t="shared" si="3"/>
        <v>WO</v>
      </c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June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30</v>
      </c>
      <c r="BA11" s="30">
        <f>jun_repo[[#This Row],[Days]]-jun_repo[[#This Row],[Absent]]</f>
        <v>30</v>
      </c>
      <c r="BB11" s="31">
        <v>11000</v>
      </c>
      <c r="BC11" s="32">
        <f>jun_repo[[#This Row],[Salary]]/jun_repo[[#This Row],[Days]]</f>
        <v>366.66666666666669</v>
      </c>
      <c r="BD11" s="30">
        <f>jun_repo[[#This Row],[Per Day Salary]]*jun_repo[[#This Row],[Absent]]</f>
        <v>0</v>
      </c>
      <c r="BE11" s="30">
        <f>jun_repo[[#This Row],[Salary]]-jun_repo[[#This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/>
      <c r="O12" s="15"/>
      <c r="P12" s="15"/>
      <c r="Q12" s="15" t="str">
        <f t="shared" si="3"/>
        <v>WO</v>
      </c>
      <c r="R12" s="15"/>
      <c r="S12" s="15"/>
      <c r="T12" s="15"/>
      <c r="U12" s="15"/>
      <c r="V12" s="15"/>
      <c r="W12" s="15"/>
      <c r="X12" s="15" t="str">
        <f t="shared" si="3"/>
        <v>WO</v>
      </c>
      <c r="Y12" s="15"/>
      <c r="Z12" s="15"/>
      <c r="AA12" s="15"/>
      <c r="AB12" s="15"/>
      <c r="AC12" s="15"/>
      <c r="AD12" s="15"/>
      <c r="AE12" s="15" t="str">
        <f t="shared" si="3"/>
        <v>WO</v>
      </c>
      <c r="AF12" s="15"/>
      <c r="AG12" s="15"/>
      <c r="AH12" s="15"/>
      <c r="AI12" s="15"/>
      <c r="AJ12" s="15"/>
      <c r="AK12" s="15"/>
      <c r="AL12" s="15" t="str">
        <f t="shared" si="3"/>
        <v>WO</v>
      </c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June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30</v>
      </c>
      <c r="BA12" s="30">
        <f>jun_repo[[#This Row],[Days]]-jun_repo[[#This Row],[Absent]]</f>
        <v>30</v>
      </c>
      <c r="BB12" s="31">
        <v>11000</v>
      </c>
      <c r="BC12" s="32">
        <f>jun_repo[[#This Row],[Salary]]/jun_repo[[#This Row],[Days]]</f>
        <v>366.66666666666669</v>
      </c>
      <c r="BD12" s="30">
        <f>jun_repo[[#This Row],[Per Day Salary]]*jun_repo[[#This Row],[Absent]]</f>
        <v>0</v>
      </c>
      <c r="BE12" s="30">
        <f>jun_repo[[#This Row],[Salary]]-jun_repo[[#This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/>
      <c r="O13" s="15"/>
      <c r="P13" s="15"/>
      <c r="Q13" s="15" t="str">
        <f t="shared" si="3"/>
        <v>WO</v>
      </c>
      <c r="R13" s="15"/>
      <c r="S13" s="15"/>
      <c r="T13" s="15"/>
      <c r="U13" s="15"/>
      <c r="V13" s="15"/>
      <c r="W13" s="15"/>
      <c r="X13" s="15" t="str">
        <f t="shared" si="3"/>
        <v>WO</v>
      </c>
      <c r="Y13" s="15"/>
      <c r="Z13" s="15"/>
      <c r="AA13" s="15"/>
      <c r="AB13" s="15"/>
      <c r="AC13" s="15"/>
      <c r="AD13" s="15"/>
      <c r="AE13" s="15" t="str">
        <f t="shared" si="3"/>
        <v>WO</v>
      </c>
      <c r="AF13" s="15"/>
      <c r="AG13" s="15"/>
      <c r="AH13" s="15"/>
      <c r="AI13" s="15"/>
      <c r="AJ13" s="15"/>
      <c r="AK13" s="15"/>
      <c r="AL13" s="15" t="str">
        <f t="shared" si="3"/>
        <v>WO</v>
      </c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June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30</v>
      </c>
      <c r="BA13" s="30">
        <f>jun_repo[[#This Row],[Days]]-jun_repo[[#This Row],[Absent]]</f>
        <v>30</v>
      </c>
      <c r="BB13" s="31">
        <v>0</v>
      </c>
      <c r="BC13" s="32">
        <f>jun_repo[[#This Row],[Salary]]/jun_repo[[#This Row],[Days]]</f>
        <v>0</v>
      </c>
      <c r="BD13" s="30">
        <f>jun_repo[[#This Row],[Per Day Salary]]*jun_repo[[#This Row],[Absent]]</f>
        <v>0</v>
      </c>
      <c r="BE13" s="30">
        <f>jun_repo[[#This Row],[Salary]]-jun_repo[[#This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/>
      <c r="O14" s="15"/>
      <c r="P14" s="15"/>
      <c r="Q14" s="15" t="str">
        <f t="shared" si="3"/>
        <v>WO</v>
      </c>
      <c r="R14" s="15"/>
      <c r="S14" s="15"/>
      <c r="T14" s="15"/>
      <c r="U14" s="15"/>
      <c r="V14" s="15"/>
      <c r="W14" s="15"/>
      <c r="X14" s="15" t="str">
        <f t="shared" si="3"/>
        <v>WO</v>
      </c>
      <c r="Y14" s="15"/>
      <c r="Z14" s="15"/>
      <c r="AA14" s="15"/>
      <c r="AB14" s="15"/>
      <c r="AC14" s="15"/>
      <c r="AD14" s="15"/>
      <c r="AE14" s="15" t="str">
        <f t="shared" si="3"/>
        <v>WO</v>
      </c>
      <c r="AF14" s="15"/>
      <c r="AG14" s="15"/>
      <c r="AH14" s="15"/>
      <c r="AI14" s="15"/>
      <c r="AJ14" s="15"/>
      <c r="AK14" s="15"/>
      <c r="AL14" s="15" t="str">
        <f t="shared" si="3"/>
        <v>WO</v>
      </c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June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30</v>
      </c>
      <c r="BA14" s="30">
        <f>jun_repo[[#This Row],[Days]]-jun_repo[[#This Row],[Absent]]</f>
        <v>30</v>
      </c>
      <c r="BB14" s="31">
        <v>0</v>
      </c>
      <c r="BC14" s="32">
        <f>jun_repo[[#This Row],[Salary]]/jun_repo[[#This Row],[Days]]</f>
        <v>0</v>
      </c>
      <c r="BD14" s="30">
        <f>jun_repo[[#This Row],[Per Day Salary]]*jun_repo[[#This Row],[Absent]]</f>
        <v>0</v>
      </c>
      <c r="BE14" s="30">
        <f>jun_repo[[#This Row],[Salary]]-jun_repo[[#This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/>
      <c r="O15" s="15"/>
      <c r="P15" s="15"/>
      <c r="Q15" s="15" t="str">
        <f t="shared" si="3"/>
        <v>WO</v>
      </c>
      <c r="R15" s="15"/>
      <c r="S15" s="15"/>
      <c r="T15" s="15"/>
      <c r="U15" s="15"/>
      <c r="V15" s="15"/>
      <c r="W15" s="15"/>
      <c r="X15" s="15" t="str">
        <f t="shared" si="3"/>
        <v>WO</v>
      </c>
      <c r="Y15" s="15"/>
      <c r="Z15" s="15"/>
      <c r="AA15" s="15"/>
      <c r="AB15" s="15"/>
      <c r="AC15" s="15"/>
      <c r="AD15" s="15"/>
      <c r="AE15" s="15" t="str">
        <f t="shared" si="3"/>
        <v>WO</v>
      </c>
      <c r="AF15" s="15"/>
      <c r="AG15" s="15"/>
      <c r="AH15" s="15"/>
      <c r="AI15" s="15"/>
      <c r="AJ15" s="15"/>
      <c r="AK15" s="15"/>
      <c r="AL15" s="15" t="str">
        <f t="shared" si="3"/>
        <v>WO</v>
      </c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June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30</v>
      </c>
      <c r="BA15" s="30">
        <f>jun_repo[[#This Row],[Days]]-jun_repo[[#This Row],[Absent]]</f>
        <v>30</v>
      </c>
      <c r="BB15" s="31">
        <v>0</v>
      </c>
      <c r="BC15" s="32">
        <f>jun_repo[[#This Row],[Salary]]/jun_repo[[#This Row],[Days]]</f>
        <v>0</v>
      </c>
      <c r="BD15" s="30">
        <f>jun_repo[[#This Row],[Per Day Salary]]*jun_repo[[#This Row],[Absent]]</f>
        <v>0</v>
      </c>
      <c r="BE15" s="30">
        <f>jun_repo[[#This Row],[Salary]]-jun_repo[[#This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/>
      <c r="O16" s="15"/>
      <c r="P16" s="15"/>
      <c r="Q16" s="15" t="str">
        <f t="shared" si="3"/>
        <v>WO</v>
      </c>
      <c r="R16" s="15"/>
      <c r="S16" s="15"/>
      <c r="T16" s="15"/>
      <c r="U16" s="15"/>
      <c r="V16" s="15"/>
      <c r="W16" s="15"/>
      <c r="X16" s="15" t="str">
        <f t="shared" si="3"/>
        <v>WO</v>
      </c>
      <c r="Y16" s="15"/>
      <c r="Z16" s="15"/>
      <c r="AA16" s="15"/>
      <c r="AB16" s="15"/>
      <c r="AC16" s="15"/>
      <c r="AD16" s="15"/>
      <c r="AE16" s="15" t="str">
        <f t="shared" si="3"/>
        <v>WO</v>
      </c>
      <c r="AF16" s="15"/>
      <c r="AG16" s="15"/>
      <c r="AH16" s="15"/>
      <c r="AI16" s="15"/>
      <c r="AJ16" s="15"/>
      <c r="AK16" s="15"/>
      <c r="AL16" s="15" t="str">
        <f t="shared" si="3"/>
        <v>WO</v>
      </c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June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30</v>
      </c>
      <c r="BA16" s="30">
        <f>jun_repo[[#This Row],[Days]]-jun_repo[[#This Row],[Absent]]</f>
        <v>30</v>
      </c>
      <c r="BB16" s="31">
        <v>0</v>
      </c>
      <c r="BC16" s="32">
        <f>jun_repo[[#This Row],[Salary]]/jun_repo[[#This Row],[Days]]</f>
        <v>0</v>
      </c>
      <c r="BD16" s="30">
        <f>jun_repo[[#This Row],[Per Day Salary]]*jun_repo[[#This Row],[Absent]]</f>
        <v>0</v>
      </c>
      <c r="BE16" s="30">
        <f>jun_repo[[#This Row],[Salary]]-jun_repo[[#This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/>
      <c r="O17" s="15"/>
      <c r="P17" s="15"/>
      <c r="Q17" s="15" t="str">
        <f t="shared" si="3"/>
        <v>WO</v>
      </c>
      <c r="R17" s="15"/>
      <c r="S17" s="15"/>
      <c r="T17" s="15"/>
      <c r="U17" s="15"/>
      <c r="V17" s="15"/>
      <c r="W17" s="15"/>
      <c r="X17" s="15" t="str">
        <f t="shared" si="3"/>
        <v>WO</v>
      </c>
      <c r="Y17" s="15"/>
      <c r="Z17" s="15"/>
      <c r="AA17" s="15"/>
      <c r="AB17" s="15"/>
      <c r="AC17" s="15"/>
      <c r="AD17" s="15"/>
      <c r="AE17" s="15" t="str">
        <f t="shared" ref="AE17:AL34" si="11">IF(AE$7="Sun","WO","")</f>
        <v>WO</v>
      </c>
      <c r="AF17" s="15"/>
      <c r="AG17" s="15"/>
      <c r="AH17" s="15"/>
      <c r="AI17" s="15"/>
      <c r="AJ17" s="15"/>
      <c r="AK17" s="15"/>
      <c r="AL17" s="15" t="str">
        <f t="shared" si="11"/>
        <v>WO</v>
      </c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June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30</v>
      </c>
      <c r="BA17" s="30">
        <f>jun_repo[[#This Row],[Days]]-jun_repo[[#This Row],[Absent]]</f>
        <v>30</v>
      </c>
      <c r="BB17" s="31">
        <v>0</v>
      </c>
      <c r="BC17" s="32">
        <f>jun_repo[[#This Row],[Salary]]/jun_repo[[#This Row],[Days]]</f>
        <v>0</v>
      </c>
      <c r="BD17" s="30">
        <f>jun_repo[[#This Row],[Per Day Salary]]*jun_repo[[#This Row],[Absent]]</f>
        <v>0</v>
      </c>
      <c r="BE17" s="30">
        <f>jun_repo[[#This Row],[Salary]]-jun_repo[[#This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/>
      <c r="O18" s="15"/>
      <c r="P18" s="15"/>
      <c r="Q18" s="15" t="str">
        <f t="shared" ref="Q18:X33" si="12">IF(Q$7="Sun","WO","")</f>
        <v>WO</v>
      </c>
      <c r="R18" s="15"/>
      <c r="S18" s="15"/>
      <c r="T18" s="15"/>
      <c r="U18" s="15"/>
      <c r="V18" s="15"/>
      <c r="W18" s="15"/>
      <c r="X18" s="15" t="str">
        <f t="shared" si="12"/>
        <v>WO</v>
      </c>
      <c r="Y18" s="15"/>
      <c r="Z18" s="15"/>
      <c r="AA18" s="15"/>
      <c r="AB18" s="15"/>
      <c r="AC18" s="15"/>
      <c r="AD18" s="15"/>
      <c r="AE18" s="15" t="str">
        <f t="shared" si="11"/>
        <v>WO</v>
      </c>
      <c r="AF18" s="15"/>
      <c r="AG18" s="15"/>
      <c r="AH18" s="15"/>
      <c r="AI18" s="15"/>
      <c r="AJ18" s="15"/>
      <c r="AK18" s="15"/>
      <c r="AL18" s="15" t="str">
        <f t="shared" si="11"/>
        <v>WO</v>
      </c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June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30</v>
      </c>
      <c r="BA18" s="30">
        <f>jun_repo[[#This Row],[Days]]-jun_repo[[#This Row],[Absent]]</f>
        <v>30</v>
      </c>
      <c r="BB18" s="31">
        <v>0</v>
      </c>
      <c r="BC18" s="32">
        <f>jun_repo[[#This Row],[Salary]]/jun_repo[[#This Row],[Days]]</f>
        <v>0</v>
      </c>
      <c r="BD18" s="30">
        <f>jun_repo[[#This Row],[Per Day Salary]]*jun_repo[[#This Row],[Absent]]</f>
        <v>0</v>
      </c>
      <c r="BE18" s="30">
        <f>jun_repo[[#This Row],[Salary]]-jun_repo[[#This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/>
      <c r="O19" s="15"/>
      <c r="P19" s="15"/>
      <c r="Q19" s="15" t="str">
        <f t="shared" si="12"/>
        <v>WO</v>
      </c>
      <c r="R19" s="15"/>
      <c r="S19" s="15"/>
      <c r="T19" s="15"/>
      <c r="U19" s="15"/>
      <c r="V19" s="15"/>
      <c r="W19" s="15"/>
      <c r="X19" s="15" t="str">
        <f t="shared" si="12"/>
        <v>WO</v>
      </c>
      <c r="Y19" s="15"/>
      <c r="Z19" s="15"/>
      <c r="AA19" s="15"/>
      <c r="AB19" s="15"/>
      <c r="AC19" s="15"/>
      <c r="AD19" s="15"/>
      <c r="AE19" s="15" t="str">
        <f t="shared" si="11"/>
        <v>WO</v>
      </c>
      <c r="AF19" s="15"/>
      <c r="AG19" s="15"/>
      <c r="AH19" s="15"/>
      <c r="AI19" s="15"/>
      <c r="AJ19" s="15"/>
      <c r="AK19" s="15"/>
      <c r="AL19" s="15" t="str">
        <f t="shared" si="11"/>
        <v>WO</v>
      </c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June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30</v>
      </c>
      <c r="BA19" s="30">
        <f>jun_repo[[#This Row],[Days]]-jun_repo[[#This Row],[Absent]]</f>
        <v>30</v>
      </c>
      <c r="BB19" s="31">
        <v>0</v>
      </c>
      <c r="BC19" s="32">
        <f>jun_repo[[#This Row],[Salary]]/jun_repo[[#This Row],[Days]]</f>
        <v>0</v>
      </c>
      <c r="BD19" s="30">
        <f>jun_repo[[#This Row],[Per Day Salary]]*jun_repo[[#This Row],[Absent]]</f>
        <v>0</v>
      </c>
      <c r="BE19" s="30">
        <f>jun_repo[[#This Row],[Salary]]-jun_repo[[#This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/>
      <c r="O20" s="15"/>
      <c r="P20" s="15"/>
      <c r="Q20" s="15" t="str">
        <f t="shared" si="12"/>
        <v>WO</v>
      </c>
      <c r="R20" s="15"/>
      <c r="S20" s="15"/>
      <c r="T20" s="15"/>
      <c r="U20" s="15"/>
      <c r="V20" s="15"/>
      <c r="W20" s="15"/>
      <c r="X20" s="15" t="str">
        <f t="shared" si="12"/>
        <v>WO</v>
      </c>
      <c r="Y20" s="15"/>
      <c r="Z20" s="15"/>
      <c r="AA20" s="15"/>
      <c r="AB20" s="15"/>
      <c r="AC20" s="15"/>
      <c r="AD20" s="15"/>
      <c r="AE20" s="15" t="str">
        <f t="shared" si="11"/>
        <v>WO</v>
      </c>
      <c r="AF20" s="15"/>
      <c r="AG20" s="15"/>
      <c r="AH20" s="15"/>
      <c r="AI20" s="15"/>
      <c r="AJ20" s="15"/>
      <c r="AK20" s="15"/>
      <c r="AL20" s="15" t="str">
        <f t="shared" si="11"/>
        <v>WO</v>
      </c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June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30</v>
      </c>
      <c r="BA20" s="30">
        <f>jun_repo[[#This Row],[Days]]-jun_repo[[#This Row],[Absent]]</f>
        <v>30</v>
      </c>
      <c r="BB20" s="31">
        <v>0</v>
      </c>
      <c r="BC20" s="32">
        <f>jun_repo[[#This Row],[Salary]]/jun_repo[[#This Row],[Days]]</f>
        <v>0</v>
      </c>
      <c r="BD20" s="30">
        <f>jun_repo[[#This Row],[Per Day Salary]]*jun_repo[[#This Row],[Absent]]</f>
        <v>0</v>
      </c>
      <c r="BE20" s="30">
        <f>jun_repo[[#This Row],[Salary]]-jun_repo[[#This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/>
      <c r="O21" s="15"/>
      <c r="P21" s="15"/>
      <c r="Q21" s="15" t="str">
        <f t="shared" si="12"/>
        <v>WO</v>
      </c>
      <c r="R21" s="15"/>
      <c r="S21" s="15"/>
      <c r="T21" s="15"/>
      <c r="U21" s="15"/>
      <c r="V21" s="15"/>
      <c r="W21" s="15"/>
      <c r="X21" s="15" t="str">
        <f t="shared" si="12"/>
        <v>WO</v>
      </c>
      <c r="Y21" s="15"/>
      <c r="Z21" s="15"/>
      <c r="AA21" s="15"/>
      <c r="AB21" s="15"/>
      <c r="AC21" s="15"/>
      <c r="AD21" s="15"/>
      <c r="AE21" s="15" t="str">
        <f t="shared" si="11"/>
        <v>WO</v>
      </c>
      <c r="AF21" s="15"/>
      <c r="AG21" s="15"/>
      <c r="AH21" s="15"/>
      <c r="AI21" s="15"/>
      <c r="AJ21" s="15"/>
      <c r="AK21" s="15"/>
      <c r="AL21" s="15" t="str">
        <f t="shared" si="11"/>
        <v>WO</v>
      </c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June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30</v>
      </c>
      <c r="BA21" s="30">
        <f>jun_repo[[#This Row],[Days]]-jun_repo[[#This Row],[Absent]]</f>
        <v>30</v>
      </c>
      <c r="BB21" s="31">
        <v>0</v>
      </c>
      <c r="BC21" s="32">
        <f>jun_repo[[#This Row],[Salary]]/jun_repo[[#This Row],[Days]]</f>
        <v>0</v>
      </c>
      <c r="BD21" s="30">
        <f>jun_repo[[#This Row],[Per Day Salary]]*jun_repo[[#This Row],[Absent]]</f>
        <v>0</v>
      </c>
      <c r="BE21" s="30">
        <f>jun_repo[[#This Row],[Salary]]-jun_repo[[#This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/>
      <c r="O22" s="15"/>
      <c r="P22" s="15"/>
      <c r="Q22" s="15" t="str">
        <f t="shared" si="12"/>
        <v>WO</v>
      </c>
      <c r="R22" s="15"/>
      <c r="S22" s="15"/>
      <c r="T22" s="15"/>
      <c r="U22" s="15"/>
      <c r="V22" s="15"/>
      <c r="W22" s="15"/>
      <c r="X22" s="15" t="str">
        <f t="shared" si="12"/>
        <v>WO</v>
      </c>
      <c r="Y22" s="15"/>
      <c r="Z22" s="15"/>
      <c r="AA22" s="15"/>
      <c r="AB22" s="15"/>
      <c r="AC22" s="15"/>
      <c r="AD22" s="15"/>
      <c r="AE22" s="15" t="str">
        <f t="shared" si="11"/>
        <v>WO</v>
      </c>
      <c r="AF22" s="15"/>
      <c r="AG22" s="15"/>
      <c r="AH22" s="15"/>
      <c r="AI22" s="15"/>
      <c r="AJ22" s="15"/>
      <c r="AK22" s="15"/>
      <c r="AL22" s="15" t="str">
        <f t="shared" si="11"/>
        <v>WO</v>
      </c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June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30</v>
      </c>
      <c r="BA22" s="30">
        <f>jun_repo[[#This Row],[Days]]-jun_repo[[#This Row],[Absent]]</f>
        <v>30</v>
      </c>
      <c r="BB22" s="31">
        <v>0</v>
      </c>
      <c r="BC22" s="32">
        <f>jun_repo[[#This Row],[Salary]]/jun_repo[[#This Row],[Days]]</f>
        <v>0</v>
      </c>
      <c r="BD22" s="30">
        <f>jun_repo[[#This Row],[Per Day Salary]]*jun_repo[[#This Row],[Absent]]</f>
        <v>0</v>
      </c>
      <c r="BE22" s="30">
        <f>jun_repo[[#This Row],[Salary]]-jun_repo[[#This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/>
      <c r="O23" s="15"/>
      <c r="P23" s="15"/>
      <c r="Q23" s="15" t="str">
        <f t="shared" si="12"/>
        <v>WO</v>
      </c>
      <c r="R23" s="15"/>
      <c r="S23" s="15"/>
      <c r="T23" s="15"/>
      <c r="U23" s="15"/>
      <c r="V23" s="15"/>
      <c r="W23" s="15"/>
      <c r="X23" s="15" t="str">
        <f t="shared" si="12"/>
        <v>WO</v>
      </c>
      <c r="Y23" s="15"/>
      <c r="Z23" s="15"/>
      <c r="AA23" s="15"/>
      <c r="AB23" s="15"/>
      <c r="AC23" s="15"/>
      <c r="AD23" s="15"/>
      <c r="AE23" s="15" t="str">
        <f t="shared" si="11"/>
        <v>WO</v>
      </c>
      <c r="AF23" s="15"/>
      <c r="AG23" s="15"/>
      <c r="AH23" s="15"/>
      <c r="AI23" s="15"/>
      <c r="AJ23" s="15"/>
      <c r="AK23" s="15"/>
      <c r="AL23" s="15" t="str">
        <f t="shared" si="11"/>
        <v>WO</v>
      </c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June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30</v>
      </c>
      <c r="BA23" s="30">
        <f>jun_repo[[#This Row],[Days]]-jun_repo[[#This Row],[Absent]]</f>
        <v>30</v>
      </c>
      <c r="BB23" s="31">
        <v>0</v>
      </c>
      <c r="BC23" s="32">
        <f>jun_repo[[#This Row],[Salary]]/jun_repo[[#This Row],[Days]]</f>
        <v>0</v>
      </c>
      <c r="BD23" s="30">
        <f>jun_repo[[#This Row],[Per Day Salary]]*jun_repo[[#This Row],[Absent]]</f>
        <v>0</v>
      </c>
      <c r="BE23" s="30">
        <f>jun_repo[[#This Row],[Salary]]-jun_repo[[#This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/>
      <c r="O24" s="15"/>
      <c r="P24" s="15"/>
      <c r="Q24" s="15" t="str">
        <f t="shared" si="12"/>
        <v>WO</v>
      </c>
      <c r="R24" s="15"/>
      <c r="S24" s="15"/>
      <c r="T24" s="15"/>
      <c r="U24" s="15"/>
      <c r="V24" s="15"/>
      <c r="W24" s="15"/>
      <c r="X24" s="15" t="str">
        <f t="shared" si="12"/>
        <v>WO</v>
      </c>
      <c r="Y24" s="15"/>
      <c r="Z24" s="15"/>
      <c r="AA24" s="15"/>
      <c r="AB24" s="15"/>
      <c r="AC24" s="15"/>
      <c r="AD24" s="15"/>
      <c r="AE24" s="15" t="str">
        <f t="shared" si="11"/>
        <v>WO</v>
      </c>
      <c r="AF24" s="15"/>
      <c r="AG24" s="15"/>
      <c r="AH24" s="15"/>
      <c r="AI24" s="15"/>
      <c r="AJ24" s="15"/>
      <c r="AK24" s="15"/>
      <c r="AL24" s="15" t="str">
        <f t="shared" si="11"/>
        <v>WO</v>
      </c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June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30</v>
      </c>
      <c r="BA24" s="30">
        <f>jun_repo[[#This Row],[Days]]-jun_repo[[#This Row],[Absent]]</f>
        <v>30</v>
      </c>
      <c r="BB24" s="31">
        <v>0</v>
      </c>
      <c r="BC24" s="32">
        <f>jun_repo[[#This Row],[Salary]]/jun_repo[[#This Row],[Days]]</f>
        <v>0</v>
      </c>
      <c r="BD24" s="30">
        <f>jun_repo[[#This Row],[Per Day Salary]]*jun_repo[[#This Row],[Absent]]</f>
        <v>0</v>
      </c>
      <c r="BE24" s="30">
        <f>jun_repo[[#This Row],[Salary]]-jun_repo[[#This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/>
      <c r="O25" s="15"/>
      <c r="P25" s="15"/>
      <c r="Q25" s="15" t="str">
        <f t="shared" si="12"/>
        <v>WO</v>
      </c>
      <c r="R25" s="15"/>
      <c r="S25" s="15"/>
      <c r="T25" s="15"/>
      <c r="U25" s="15"/>
      <c r="V25" s="15"/>
      <c r="W25" s="15"/>
      <c r="X25" s="15" t="str">
        <f t="shared" si="12"/>
        <v>WO</v>
      </c>
      <c r="Y25" s="15"/>
      <c r="Z25" s="15"/>
      <c r="AA25" s="15"/>
      <c r="AB25" s="15"/>
      <c r="AC25" s="15"/>
      <c r="AD25" s="15"/>
      <c r="AE25" s="15" t="str">
        <f t="shared" si="11"/>
        <v>WO</v>
      </c>
      <c r="AF25" s="15"/>
      <c r="AG25" s="15"/>
      <c r="AH25" s="15"/>
      <c r="AI25" s="15"/>
      <c r="AJ25" s="15"/>
      <c r="AK25" s="15"/>
      <c r="AL25" s="15" t="str">
        <f t="shared" si="11"/>
        <v>WO</v>
      </c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June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30</v>
      </c>
      <c r="BA25" s="30">
        <f>jun_repo[[#This Row],[Days]]-jun_repo[[#This Row],[Absent]]</f>
        <v>30</v>
      </c>
      <c r="BB25" s="31">
        <v>0</v>
      </c>
      <c r="BC25" s="32">
        <f>jun_repo[[#This Row],[Salary]]/jun_repo[[#This Row],[Days]]</f>
        <v>0</v>
      </c>
      <c r="BD25" s="30">
        <f>jun_repo[[#This Row],[Per Day Salary]]*jun_repo[[#This Row],[Absent]]</f>
        <v>0</v>
      </c>
      <c r="BE25" s="30">
        <f>jun_repo[[#This Row],[Salary]]-jun_repo[[#This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/>
      <c r="O26" s="15"/>
      <c r="P26" s="15"/>
      <c r="Q26" s="15" t="str">
        <f t="shared" si="12"/>
        <v>WO</v>
      </c>
      <c r="R26" s="15"/>
      <c r="S26" s="15"/>
      <c r="T26" s="15"/>
      <c r="U26" s="15"/>
      <c r="V26" s="15"/>
      <c r="W26" s="15"/>
      <c r="X26" s="15" t="str">
        <f t="shared" si="12"/>
        <v>WO</v>
      </c>
      <c r="Y26" s="15"/>
      <c r="Z26" s="15"/>
      <c r="AA26" s="15"/>
      <c r="AB26" s="15"/>
      <c r="AC26" s="15"/>
      <c r="AD26" s="15"/>
      <c r="AE26" s="15" t="str">
        <f t="shared" si="11"/>
        <v>WO</v>
      </c>
      <c r="AF26" s="15"/>
      <c r="AG26" s="15"/>
      <c r="AH26" s="15"/>
      <c r="AI26" s="15"/>
      <c r="AJ26" s="15"/>
      <c r="AK26" s="15"/>
      <c r="AL26" s="15" t="str">
        <f t="shared" si="11"/>
        <v>WO</v>
      </c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June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30</v>
      </c>
      <c r="BA26" s="30">
        <f>jun_repo[[#This Row],[Days]]-jun_repo[[#This Row],[Absent]]</f>
        <v>30</v>
      </c>
      <c r="BB26" s="31">
        <v>0</v>
      </c>
      <c r="BC26" s="32">
        <f>jun_repo[[#This Row],[Salary]]/jun_repo[[#This Row],[Days]]</f>
        <v>0</v>
      </c>
      <c r="BD26" s="30">
        <f>jun_repo[[#This Row],[Per Day Salary]]*jun_repo[[#This Row],[Absent]]</f>
        <v>0</v>
      </c>
      <c r="BE26" s="30">
        <f>jun_repo[[#This Row],[Salary]]-jun_repo[[#This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/>
      <c r="O27" s="15"/>
      <c r="P27" s="15"/>
      <c r="Q27" s="15" t="str">
        <f t="shared" si="12"/>
        <v>WO</v>
      </c>
      <c r="R27" s="15"/>
      <c r="S27" s="15"/>
      <c r="T27" s="15"/>
      <c r="U27" s="15"/>
      <c r="V27" s="15"/>
      <c r="W27" s="15"/>
      <c r="X27" s="15" t="str">
        <f t="shared" si="12"/>
        <v>WO</v>
      </c>
      <c r="Y27" s="15"/>
      <c r="Z27" s="15"/>
      <c r="AA27" s="15"/>
      <c r="AB27" s="15"/>
      <c r="AC27" s="15"/>
      <c r="AD27" s="15"/>
      <c r="AE27" s="15" t="str">
        <f t="shared" si="11"/>
        <v>WO</v>
      </c>
      <c r="AF27" s="15"/>
      <c r="AG27" s="15"/>
      <c r="AH27" s="15"/>
      <c r="AI27" s="15"/>
      <c r="AJ27" s="15"/>
      <c r="AK27" s="15"/>
      <c r="AL27" s="15" t="str">
        <f t="shared" si="11"/>
        <v>WO</v>
      </c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June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30</v>
      </c>
      <c r="BA27" s="30">
        <f>jun_repo[[#This Row],[Days]]-jun_repo[[#This Row],[Absent]]</f>
        <v>30</v>
      </c>
      <c r="BB27" s="31">
        <v>0</v>
      </c>
      <c r="BC27" s="32">
        <f>jun_repo[[#This Row],[Salary]]/jun_repo[[#This Row],[Days]]</f>
        <v>0</v>
      </c>
      <c r="BD27" s="30">
        <f>jun_repo[[#This Row],[Per Day Salary]]*jun_repo[[#This Row],[Absent]]</f>
        <v>0</v>
      </c>
      <c r="BE27" s="30">
        <f>jun_repo[[#This Row],[Salary]]-jun_repo[[#This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/>
      <c r="O28" s="15"/>
      <c r="P28" s="15"/>
      <c r="Q28" s="15" t="str">
        <f t="shared" si="12"/>
        <v>WO</v>
      </c>
      <c r="R28" s="15"/>
      <c r="S28" s="15"/>
      <c r="T28" s="15"/>
      <c r="U28" s="15"/>
      <c r="V28" s="15"/>
      <c r="W28" s="15"/>
      <c r="X28" s="15" t="str">
        <f t="shared" si="12"/>
        <v>WO</v>
      </c>
      <c r="Y28" s="15"/>
      <c r="Z28" s="15"/>
      <c r="AA28" s="15"/>
      <c r="AB28" s="15"/>
      <c r="AC28" s="15"/>
      <c r="AD28" s="15"/>
      <c r="AE28" s="15" t="str">
        <f t="shared" si="11"/>
        <v>WO</v>
      </c>
      <c r="AF28" s="15"/>
      <c r="AG28" s="15"/>
      <c r="AH28" s="15"/>
      <c r="AI28" s="15"/>
      <c r="AJ28" s="15"/>
      <c r="AK28" s="15"/>
      <c r="AL28" s="15" t="str">
        <f t="shared" si="11"/>
        <v>WO</v>
      </c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June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30</v>
      </c>
      <c r="BA28" s="30">
        <f>jun_repo[[#This Row],[Days]]-jun_repo[[#This Row],[Absent]]</f>
        <v>30</v>
      </c>
      <c r="BB28" s="31">
        <v>0</v>
      </c>
      <c r="BC28" s="32">
        <f>jun_repo[[#This Row],[Salary]]/jun_repo[[#This Row],[Days]]</f>
        <v>0</v>
      </c>
      <c r="BD28" s="30">
        <f>jun_repo[[#This Row],[Per Day Salary]]*jun_repo[[#This Row],[Absent]]</f>
        <v>0</v>
      </c>
      <c r="BE28" s="30">
        <f>jun_repo[[#This Row],[Salary]]-jun_repo[[#This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/>
      <c r="O29" s="15"/>
      <c r="P29" s="15"/>
      <c r="Q29" s="15" t="str">
        <f t="shared" si="12"/>
        <v>WO</v>
      </c>
      <c r="R29" s="15"/>
      <c r="S29" s="15"/>
      <c r="T29" s="15"/>
      <c r="U29" s="15"/>
      <c r="V29" s="15"/>
      <c r="W29" s="15"/>
      <c r="X29" s="15" t="str">
        <f t="shared" si="12"/>
        <v>WO</v>
      </c>
      <c r="Y29" s="15"/>
      <c r="Z29" s="15"/>
      <c r="AA29" s="15"/>
      <c r="AB29" s="15"/>
      <c r="AC29" s="15"/>
      <c r="AD29" s="15"/>
      <c r="AE29" s="15" t="str">
        <f t="shared" si="11"/>
        <v>WO</v>
      </c>
      <c r="AF29" s="15"/>
      <c r="AG29" s="15"/>
      <c r="AH29" s="15"/>
      <c r="AI29" s="15"/>
      <c r="AJ29" s="15"/>
      <c r="AK29" s="15"/>
      <c r="AL29" s="15" t="str">
        <f t="shared" si="11"/>
        <v>WO</v>
      </c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June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30</v>
      </c>
      <c r="BA29" s="30">
        <f>jun_repo[[#This Row],[Days]]-jun_repo[[#This Row],[Absent]]</f>
        <v>30</v>
      </c>
      <c r="BB29" s="31">
        <v>0</v>
      </c>
      <c r="BC29" s="32">
        <f>jun_repo[[#This Row],[Salary]]/jun_repo[[#This Row],[Days]]</f>
        <v>0</v>
      </c>
      <c r="BD29" s="30">
        <f>jun_repo[[#This Row],[Per Day Salary]]*jun_repo[[#This Row],[Absent]]</f>
        <v>0</v>
      </c>
      <c r="BE29" s="30">
        <f>jun_repo[[#This Row],[Salary]]-jun_repo[[#This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/>
      <c r="O30" s="15"/>
      <c r="P30" s="15"/>
      <c r="Q30" s="15" t="str">
        <f t="shared" si="12"/>
        <v>WO</v>
      </c>
      <c r="R30" s="15"/>
      <c r="S30" s="15"/>
      <c r="T30" s="15"/>
      <c r="U30" s="15"/>
      <c r="V30" s="15"/>
      <c r="W30" s="15"/>
      <c r="X30" s="15" t="str">
        <f t="shared" si="12"/>
        <v>WO</v>
      </c>
      <c r="Y30" s="15"/>
      <c r="Z30" s="15"/>
      <c r="AA30" s="15"/>
      <c r="AB30" s="15"/>
      <c r="AC30" s="15"/>
      <c r="AD30" s="15"/>
      <c r="AE30" s="15" t="str">
        <f t="shared" si="11"/>
        <v>WO</v>
      </c>
      <c r="AF30" s="15"/>
      <c r="AG30" s="15"/>
      <c r="AH30" s="15"/>
      <c r="AI30" s="15"/>
      <c r="AJ30" s="15"/>
      <c r="AK30" s="15"/>
      <c r="AL30" s="15" t="str">
        <f t="shared" si="11"/>
        <v>WO</v>
      </c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June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30</v>
      </c>
      <c r="BA30" s="30">
        <f>jun_repo[[#This Row],[Days]]-jun_repo[[#This Row],[Absent]]</f>
        <v>30</v>
      </c>
      <c r="BB30" s="31">
        <v>0</v>
      </c>
      <c r="BC30" s="32">
        <f>jun_repo[[#This Row],[Salary]]/jun_repo[[#This Row],[Days]]</f>
        <v>0</v>
      </c>
      <c r="BD30" s="30">
        <f>jun_repo[[#This Row],[Per Day Salary]]*jun_repo[[#This Row],[Absent]]</f>
        <v>0</v>
      </c>
      <c r="BE30" s="30">
        <f>jun_repo[[#This Row],[Salary]]-jun_repo[[#This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/>
      <c r="O31" s="15"/>
      <c r="P31" s="15"/>
      <c r="Q31" s="15" t="str">
        <f t="shared" si="12"/>
        <v>WO</v>
      </c>
      <c r="R31" s="15"/>
      <c r="S31" s="15"/>
      <c r="T31" s="15"/>
      <c r="U31" s="15"/>
      <c r="V31" s="15"/>
      <c r="W31" s="15"/>
      <c r="X31" s="15" t="str">
        <f t="shared" si="12"/>
        <v>WO</v>
      </c>
      <c r="Y31" s="15"/>
      <c r="Z31" s="15"/>
      <c r="AA31" s="15"/>
      <c r="AB31" s="15"/>
      <c r="AC31" s="15"/>
      <c r="AD31" s="15"/>
      <c r="AE31" s="15" t="str">
        <f t="shared" si="11"/>
        <v>WO</v>
      </c>
      <c r="AF31" s="15"/>
      <c r="AG31" s="15"/>
      <c r="AH31" s="15"/>
      <c r="AI31" s="15"/>
      <c r="AJ31" s="15"/>
      <c r="AK31" s="15"/>
      <c r="AL31" s="15" t="str">
        <f t="shared" si="11"/>
        <v>WO</v>
      </c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June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30</v>
      </c>
      <c r="BA31" s="30">
        <f>jun_repo[[#This Row],[Days]]-jun_repo[[#This Row],[Absent]]</f>
        <v>30</v>
      </c>
      <c r="BB31" s="31">
        <v>0</v>
      </c>
      <c r="BC31" s="32">
        <f>jun_repo[[#This Row],[Salary]]/jun_repo[[#This Row],[Days]]</f>
        <v>0</v>
      </c>
      <c r="BD31" s="30">
        <f>jun_repo[[#This Row],[Per Day Salary]]*jun_repo[[#This Row],[Absent]]</f>
        <v>0</v>
      </c>
      <c r="BE31" s="30">
        <f>jun_repo[[#This Row],[Salary]]-jun_repo[[#This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/>
      <c r="O32" s="15"/>
      <c r="P32" s="15"/>
      <c r="Q32" s="15" t="str">
        <f t="shared" si="12"/>
        <v>WO</v>
      </c>
      <c r="R32" s="15"/>
      <c r="S32" s="15"/>
      <c r="T32" s="15"/>
      <c r="U32" s="15"/>
      <c r="V32" s="15"/>
      <c r="W32" s="15"/>
      <c r="X32" s="15" t="str">
        <f t="shared" si="12"/>
        <v>WO</v>
      </c>
      <c r="Y32" s="15"/>
      <c r="Z32" s="15"/>
      <c r="AA32" s="15"/>
      <c r="AB32" s="15"/>
      <c r="AC32" s="15"/>
      <c r="AD32" s="15"/>
      <c r="AE32" s="15" t="str">
        <f t="shared" si="11"/>
        <v>WO</v>
      </c>
      <c r="AF32" s="15"/>
      <c r="AG32" s="15"/>
      <c r="AH32" s="15"/>
      <c r="AI32" s="15"/>
      <c r="AJ32" s="15"/>
      <c r="AK32" s="15"/>
      <c r="AL32" s="15" t="str">
        <f t="shared" si="11"/>
        <v>WO</v>
      </c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June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30</v>
      </c>
      <c r="BA32" s="30">
        <f>jun_repo[[#This Row],[Days]]-jun_repo[[#This Row],[Absent]]</f>
        <v>30</v>
      </c>
      <c r="BB32" s="31">
        <v>0</v>
      </c>
      <c r="BC32" s="32">
        <f>jun_repo[[#This Row],[Salary]]/jun_repo[[#This Row],[Days]]</f>
        <v>0</v>
      </c>
      <c r="BD32" s="30">
        <f>jun_repo[[#This Row],[Per Day Salary]]*jun_repo[[#This Row],[Absent]]</f>
        <v>0</v>
      </c>
      <c r="BE32" s="30">
        <f>jun_repo[[#This Row],[Salary]]-jun_repo[[#This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/>
      <c r="O33" s="15"/>
      <c r="P33" s="15"/>
      <c r="Q33" s="15" t="str">
        <f t="shared" si="12"/>
        <v>WO</v>
      </c>
      <c r="R33" s="15"/>
      <c r="S33" s="15"/>
      <c r="T33" s="15"/>
      <c r="U33" s="15"/>
      <c r="V33" s="15"/>
      <c r="W33" s="15"/>
      <c r="X33" s="15" t="str">
        <f t="shared" ref="X33:AE38" si="13">IF(X$7="Sun","WO","")</f>
        <v>WO</v>
      </c>
      <c r="Y33" s="15"/>
      <c r="Z33" s="15"/>
      <c r="AA33" s="15"/>
      <c r="AB33" s="15"/>
      <c r="AC33" s="15"/>
      <c r="AD33" s="15"/>
      <c r="AE33" s="15" t="str">
        <f t="shared" si="13"/>
        <v>WO</v>
      </c>
      <c r="AF33" s="15"/>
      <c r="AG33" s="15"/>
      <c r="AH33" s="15"/>
      <c r="AI33" s="15"/>
      <c r="AJ33" s="15"/>
      <c r="AK33" s="15"/>
      <c r="AL33" s="15" t="str">
        <f t="shared" si="11"/>
        <v>WO</v>
      </c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June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30</v>
      </c>
      <c r="BA33" s="30">
        <f>jun_repo[[#This Row],[Days]]-jun_repo[[#This Row],[Absent]]</f>
        <v>30</v>
      </c>
      <c r="BB33" s="31">
        <v>0</v>
      </c>
      <c r="BC33" s="32">
        <f>jun_repo[[#This Row],[Salary]]/jun_repo[[#This Row],[Days]]</f>
        <v>0</v>
      </c>
      <c r="BD33" s="30">
        <f>jun_repo[[#This Row],[Per Day Salary]]*jun_repo[[#This Row],[Absent]]</f>
        <v>0</v>
      </c>
      <c r="BE33" s="30">
        <f>jun_repo[[#This Row],[Salary]]-jun_repo[[#This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/>
      <c r="O34" s="15"/>
      <c r="P34" s="15"/>
      <c r="Q34" s="15" t="str">
        <f t="shared" ref="Q34:X38" si="14">IF(Q$7="Sun","WO","")</f>
        <v>WO</v>
      </c>
      <c r="R34" s="15"/>
      <c r="S34" s="15"/>
      <c r="T34" s="15"/>
      <c r="U34" s="15"/>
      <c r="V34" s="15"/>
      <c r="W34" s="15"/>
      <c r="X34" s="15" t="str">
        <f t="shared" si="14"/>
        <v>WO</v>
      </c>
      <c r="Y34" s="15"/>
      <c r="Z34" s="15"/>
      <c r="AA34" s="15"/>
      <c r="AB34" s="15"/>
      <c r="AC34" s="15"/>
      <c r="AD34" s="15"/>
      <c r="AE34" s="15" t="str">
        <f t="shared" si="13"/>
        <v>WO</v>
      </c>
      <c r="AF34" s="15"/>
      <c r="AG34" s="15"/>
      <c r="AH34" s="15"/>
      <c r="AI34" s="15"/>
      <c r="AJ34" s="15"/>
      <c r="AK34" s="15"/>
      <c r="AL34" s="15" t="str">
        <f t="shared" si="11"/>
        <v>WO</v>
      </c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June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30</v>
      </c>
      <c r="BA34" s="30">
        <f>jun_repo[[#This Row],[Days]]-jun_repo[[#This Row],[Absent]]</f>
        <v>30</v>
      </c>
      <c r="BB34" s="31">
        <v>0</v>
      </c>
      <c r="BC34" s="32">
        <f>jun_repo[[#This Row],[Salary]]/jun_repo[[#This Row],[Days]]</f>
        <v>0</v>
      </c>
      <c r="BD34" s="30">
        <f>jun_repo[[#This Row],[Per Day Salary]]*jun_repo[[#This Row],[Absent]]</f>
        <v>0</v>
      </c>
      <c r="BE34" s="30">
        <f>jun_repo[[#This Row],[Salary]]-jun_repo[[#This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/>
      <c r="O35" s="15"/>
      <c r="P35" s="15"/>
      <c r="Q35" s="15" t="str">
        <f t="shared" si="14"/>
        <v>WO</v>
      </c>
      <c r="R35" s="15"/>
      <c r="S35" s="15"/>
      <c r="T35" s="15"/>
      <c r="U35" s="15"/>
      <c r="V35" s="15"/>
      <c r="W35" s="15"/>
      <c r="X35" s="15" t="str">
        <f t="shared" si="14"/>
        <v>WO</v>
      </c>
      <c r="Y35" s="15"/>
      <c r="Z35" s="15"/>
      <c r="AA35" s="15"/>
      <c r="AB35" s="15"/>
      <c r="AC35" s="15"/>
      <c r="AD35" s="15"/>
      <c r="AE35" s="15" t="str">
        <f t="shared" si="13"/>
        <v>WO</v>
      </c>
      <c r="AF35" s="15"/>
      <c r="AG35" s="15"/>
      <c r="AH35" s="15"/>
      <c r="AI35" s="15"/>
      <c r="AJ35" s="15"/>
      <c r="AK35" s="15"/>
      <c r="AL35" s="15" t="str">
        <f t="shared" ref="AL35:AL38" si="15">IF(AL$7="Sun","WO","")</f>
        <v>WO</v>
      </c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June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30</v>
      </c>
      <c r="BA35" s="30">
        <f>jun_repo[[#This Row],[Days]]-jun_repo[[#This Row],[Absent]]</f>
        <v>30</v>
      </c>
      <c r="BB35" s="31">
        <v>0</v>
      </c>
      <c r="BC35" s="32">
        <f>jun_repo[[#This Row],[Salary]]/jun_repo[[#This Row],[Days]]</f>
        <v>0</v>
      </c>
      <c r="BD35" s="30">
        <f>jun_repo[[#This Row],[Per Day Salary]]*jun_repo[[#This Row],[Absent]]</f>
        <v>0</v>
      </c>
      <c r="BE35" s="30">
        <f>jun_repo[[#This Row],[Salary]]-jun_repo[[#This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/>
      <c r="O36" s="15"/>
      <c r="P36" s="15"/>
      <c r="Q36" s="15" t="str">
        <f t="shared" si="14"/>
        <v>WO</v>
      </c>
      <c r="R36" s="15"/>
      <c r="S36" s="15"/>
      <c r="T36" s="15"/>
      <c r="U36" s="15"/>
      <c r="V36" s="15"/>
      <c r="W36" s="15"/>
      <c r="X36" s="15" t="str">
        <f t="shared" si="14"/>
        <v>WO</v>
      </c>
      <c r="Y36" s="15"/>
      <c r="Z36" s="15"/>
      <c r="AA36" s="15"/>
      <c r="AB36" s="15"/>
      <c r="AC36" s="15"/>
      <c r="AD36" s="15"/>
      <c r="AE36" s="15" t="str">
        <f t="shared" si="13"/>
        <v>WO</v>
      </c>
      <c r="AF36" s="15"/>
      <c r="AG36" s="15"/>
      <c r="AH36" s="15"/>
      <c r="AI36" s="15"/>
      <c r="AJ36" s="15"/>
      <c r="AK36" s="15"/>
      <c r="AL36" s="15" t="str">
        <f t="shared" si="15"/>
        <v>WO</v>
      </c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June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30</v>
      </c>
      <c r="BA36" s="30">
        <f>jun_repo[[#This Row],[Days]]-jun_repo[[#This Row],[Absent]]</f>
        <v>30</v>
      </c>
      <c r="BB36" s="31">
        <v>0</v>
      </c>
      <c r="BC36" s="32">
        <f>jun_repo[[#This Row],[Salary]]/jun_repo[[#This Row],[Days]]</f>
        <v>0</v>
      </c>
      <c r="BD36" s="30">
        <f>jun_repo[[#This Row],[Per Day Salary]]*jun_repo[[#This Row],[Absent]]</f>
        <v>0</v>
      </c>
      <c r="BE36" s="30">
        <f>jun_repo[[#This Row],[Salary]]-jun_repo[[#This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/>
      <c r="O37" s="15"/>
      <c r="P37" s="15"/>
      <c r="Q37" s="15" t="str">
        <f t="shared" si="14"/>
        <v>WO</v>
      </c>
      <c r="R37" s="15"/>
      <c r="S37" s="15"/>
      <c r="T37" s="15"/>
      <c r="U37" s="15"/>
      <c r="V37" s="15"/>
      <c r="W37" s="15"/>
      <c r="X37" s="15" t="str">
        <f t="shared" si="14"/>
        <v>WO</v>
      </c>
      <c r="Y37" s="15"/>
      <c r="Z37" s="15"/>
      <c r="AA37" s="15"/>
      <c r="AB37" s="15"/>
      <c r="AC37" s="15"/>
      <c r="AD37" s="15"/>
      <c r="AE37" s="15" t="str">
        <f t="shared" si="13"/>
        <v>WO</v>
      </c>
      <c r="AF37" s="15"/>
      <c r="AG37" s="15"/>
      <c r="AH37" s="15"/>
      <c r="AI37" s="15"/>
      <c r="AJ37" s="15"/>
      <c r="AK37" s="15"/>
      <c r="AL37" s="15" t="str">
        <f t="shared" si="15"/>
        <v>WO</v>
      </c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June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30</v>
      </c>
      <c r="BA37" s="30">
        <f>jun_repo[[#This Row],[Days]]-jun_repo[[#This Row],[Absent]]</f>
        <v>30</v>
      </c>
      <c r="BB37" s="31">
        <v>0</v>
      </c>
      <c r="BC37" s="32">
        <f>jun_repo[[#This Row],[Salary]]/jun_repo[[#This Row],[Days]]</f>
        <v>0</v>
      </c>
      <c r="BD37" s="30">
        <f>jun_repo[[#This Row],[Per Day Salary]]*jun_repo[[#This Row],[Absent]]</f>
        <v>0</v>
      </c>
      <c r="BE37" s="30">
        <f>jun_repo[[#This Row],[Salary]]-jun_repo[[#This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/>
      <c r="O38" s="21"/>
      <c r="P38" s="21"/>
      <c r="Q38" s="21" t="str">
        <f t="shared" si="14"/>
        <v>WO</v>
      </c>
      <c r="R38" s="21"/>
      <c r="S38" s="21"/>
      <c r="T38" s="21"/>
      <c r="U38" s="21"/>
      <c r="V38" s="21"/>
      <c r="W38" s="21"/>
      <c r="X38" s="21" t="str">
        <f t="shared" si="14"/>
        <v>WO</v>
      </c>
      <c r="Y38" s="21"/>
      <c r="Z38" s="21"/>
      <c r="AA38" s="21"/>
      <c r="AB38" s="21"/>
      <c r="AC38" s="21"/>
      <c r="AD38" s="21"/>
      <c r="AE38" s="21" t="str">
        <f t="shared" si="13"/>
        <v>WO</v>
      </c>
      <c r="AF38" s="21"/>
      <c r="AG38" s="21"/>
      <c r="AH38" s="21"/>
      <c r="AI38" s="21"/>
      <c r="AJ38" s="21"/>
      <c r="AK38" s="21"/>
      <c r="AL38" s="21" t="str">
        <f t="shared" si="15"/>
        <v>WO</v>
      </c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June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30</v>
      </c>
      <c r="BA38" s="30">
        <f>jun_repo[[#This Row],[Days]]-jun_repo[[#This Row],[Absent]]</f>
        <v>30</v>
      </c>
      <c r="BB38" s="31">
        <v>0</v>
      </c>
      <c r="BC38" s="32">
        <f>jun_repo[[#This Row],[Salary]]/jun_repo[[#This Row],[Days]]</f>
        <v>0</v>
      </c>
      <c r="BD38" s="30">
        <f>jun_repo[[#This Row],[Per Day Salary]]*jun_repo[[#This Row],[Absent]]</f>
        <v>0</v>
      </c>
      <c r="BE38" s="30">
        <f>jun_repo[[#This Row],[Salary]]-jun_repo[[#This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216" priority="12" operator="containsText" text="WO">
      <formula>NOT(ISERROR(SEARCH("WO",H5)))</formula>
    </cfRule>
  </conditionalFormatting>
  <conditionalFormatting sqref="K9">
    <cfRule type="containsText" dxfId="215" priority="5" operator="containsText" text="L">
      <formula>NOT(ISERROR(SEARCH("L",K9)))</formula>
    </cfRule>
    <cfRule type="containsText" dxfId="214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213" priority="9" operator="containsText" text="WO">
      <formula>NOT(ISERROR(SEARCH("WO",A1)))</formula>
    </cfRule>
    <cfRule type="containsText" dxfId="212" priority="10" operator="containsText" text="WO">
      <formula>NOT(ISERROR(SEARCH("WO",A1)))</formula>
    </cfRule>
  </conditionalFormatting>
  <conditionalFormatting sqref="K9:AO38">
    <cfRule type="containsText" dxfId="211" priority="6" operator="containsText" text="L">
      <formula>NOT(ISERROR(SEARCH("L",K9)))</formula>
    </cfRule>
    <cfRule type="containsText" dxfId="210" priority="7" operator="containsText" text="A">
      <formula>NOT(ISERROR(SEARCH("A",K9)))</formula>
    </cfRule>
    <cfRule type="containsText" dxfId="209" priority="8" operator="containsText" text="P">
      <formula>NOT(ISERROR(SEARCH("P",K9)))</formula>
    </cfRule>
  </conditionalFormatting>
  <conditionalFormatting sqref="BB9:BB38">
    <cfRule type="containsText" dxfId="208" priority="3" operator="containsText" text="WO">
      <formula>NOT(ISERROR(SEARCH("WO",BB9)))</formula>
    </cfRule>
    <cfRule type="containsText" dxfId="207" priority="4" operator="containsText" text="WO">
      <formula>NOT(ISERROR(SEARCH("WO",BB9)))</formula>
    </cfRule>
  </conditionalFormatting>
  <conditionalFormatting sqref="I9:I12">
    <cfRule type="containsText" dxfId="206" priority="1" operator="containsText" text="WO">
      <formula>NOT(ISERROR(SEARCH("WO",I9)))</formula>
    </cfRule>
    <cfRule type="containsText" dxfId="205" priority="2" operator="containsText" text="WO">
      <formula>NOT(ISERROR(SEARCH("WO",I9)))</formula>
    </cfRule>
  </conditionalFormatting>
  <dataValidations count="1">
    <dataValidation type="list" allowBlank="1" showInputMessage="1" showErrorMessage="1" sqref="K9:P38 R9:W38 Y9:AD38 AF9:AK38 AM9:AO38" xr:uid="{00000000-0002-0000-05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500-000005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JUN!AV9:AY9</xm:f>
              <xm:sqref>BF9</xm:sqref>
            </x14:sparkline>
            <x14:sparkline>
              <xm:f>JUN!AV10:AY10</xm:f>
              <xm:sqref>BF10</xm:sqref>
            </x14:sparkline>
            <x14:sparkline>
              <xm:f>JUN!AV11:AY11</xm:f>
              <xm:sqref>BF11</xm:sqref>
            </x14:sparkline>
            <x14:sparkline>
              <xm:f>JUN!AV12:AY12</xm:f>
              <xm:sqref>BF12</xm:sqref>
            </x14:sparkline>
            <x14:sparkline>
              <xm:f>JUN!AV13:AY13</xm:f>
              <xm:sqref>BF13</xm:sqref>
            </x14:sparkline>
            <x14:sparkline>
              <xm:f>JUN!AV14:AY14</xm:f>
              <xm:sqref>BF14</xm:sqref>
            </x14:sparkline>
            <x14:sparkline>
              <xm:f>JUN!AV15:AY15</xm:f>
              <xm:sqref>BF15</xm:sqref>
            </x14:sparkline>
            <x14:sparkline>
              <xm:f>JUN!AV16:AY16</xm:f>
              <xm:sqref>BF16</xm:sqref>
            </x14:sparkline>
            <x14:sparkline>
              <xm:f>JUN!AV17:AY17</xm:f>
              <xm:sqref>BF17</xm:sqref>
            </x14:sparkline>
            <x14:sparkline>
              <xm:f>JUN!AV18:AY18</xm:f>
              <xm:sqref>BF18</xm:sqref>
            </x14:sparkline>
            <x14:sparkline>
              <xm:f>JUN!AV19:AY19</xm:f>
              <xm:sqref>BF19</xm:sqref>
            </x14:sparkline>
            <x14:sparkline>
              <xm:f>JUN!AV20:AY20</xm:f>
              <xm:sqref>BF20</xm:sqref>
            </x14:sparkline>
            <x14:sparkline>
              <xm:f>JUN!AV21:AY21</xm:f>
              <xm:sqref>BF21</xm:sqref>
            </x14:sparkline>
            <x14:sparkline>
              <xm:f>JUN!AV22:AY22</xm:f>
              <xm:sqref>BF22</xm:sqref>
            </x14:sparkline>
            <x14:sparkline>
              <xm:f>JUN!AV23:AY23</xm:f>
              <xm:sqref>BF23</xm:sqref>
            </x14:sparkline>
            <x14:sparkline>
              <xm:f>JUN!AV24:AY24</xm:f>
              <xm:sqref>BF24</xm:sqref>
            </x14:sparkline>
            <x14:sparkline>
              <xm:f>JUN!AV25:AY25</xm:f>
              <xm:sqref>BF25</xm:sqref>
            </x14:sparkline>
            <x14:sparkline>
              <xm:f>JUN!AV26:AY26</xm:f>
              <xm:sqref>BF26</xm:sqref>
            </x14:sparkline>
            <x14:sparkline>
              <xm:f>JUN!AV27:AY27</xm:f>
              <xm:sqref>BF27</xm:sqref>
            </x14:sparkline>
            <x14:sparkline>
              <xm:f>JUN!AV28:AY28</xm:f>
              <xm:sqref>BF28</xm:sqref>
            </x14:sparkline>
            <x14:sparkline>
              <xm:f>JUN!AV29:AY29</xm:f>
              <xm:sqref>BF29</xm:sqref>
            </x14:sparkline>
            <x14:sparkline>
              <xm:f>JUN!AV30:AY30</xm:f>
              <xm:sqref>BF30</xm:sqref>
            </x14:sparkline>
            <x14:sparkline>
              <xm:f>JUN!AV31:AY31</xm:f>
              <xm:sqref>BF31</xm:sqref>
            </x14:sparkline>
            <x14:sparkline>
              <xm:f>JUN!AV32:AY32</xm:f>
              <xm:sqref>BF32</xm:sqref>
            </x14:sparkline>
            <x14:sparkline>
              <xm:f>JUN!AV33:AY33</xm:f>
              <xm:sqref>BF33</xm:sqref>
            </x14:sparkline>
            <x14:sparkline>
              <xm:f>JUN!AV34:AY34</xm:f>
              <xm:sqref>BF34</xm:sqref>
            </x14:sparkline>
            <x14:sparkline>
              <xm:f>JUN!AV35:AY35</xm:f>
              <xm:sqref>BF35</xm:sqref>
            </x14:sparkline>
            <x14:sparkline>
              <xm:f>JUN!AV36:AY36</xm:f>
              <xm:sqref>BF36</xm:sqref>
            </x14:sparkline>
            <x14:sparkline>
              <xm:f>JUN!AV37:AY37</xm:f>
              <xm:sqref>BF37</xm:sqref>
            </x14:sparkline>
            <x14:sparkline>
              <xm:f>JUN!AV38:AY38</xm:f>
              <xm:sqref>BF38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Z163"/>
  <sheetViews>
    <sheetView topLeftCell="AA10" zoomScaleNormal="10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46204</v>
      </c>
      <c r="I5" s="42">
        <f>(DATEDIF($H$5,$L$5,"D"))+1</f>
        <v>31</v>
      </c>
      <c r="J5" s="42" t="str">
        <f>TEXT(H5,"MMMM")</f>
        <v>July</v>
      </c>
      <c r="K5" s="42" t="s">
        <v>64</v>
      </c>
      <c r="L5" s="46">
        <f>EOMONTH(H5,0)</f>
        <v>46234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Wed</v>
      </c>
      <c r="L7" s="4" t="str">
        <f t="shared" ref="L7:AO7" si="0">TEXT(L8,"DDD")</f>
        <v>Thu</v>
      </c>
      <c r="M7" s="4" t="str">
        <f t="shared" si="0"/>
        <v>Fri</v>
      </c>
      <c r="N7" s="4" t="str">
        <f t="shared" si="0"/>
        <v>Sat</v>
      </c>
      <c r="O7" s="4" t="str">
        <f t="shared" si="0"/>
        <v>Sun</v>
      </c>
      <c r="P7" s="4" t="str">
        <f t="shared" si="0"/>
        <v>Mon</v>
      </c>
      <c r="Q7" s="4" t="str">
        <f t="shared" si="0"/>
        <v>Tue</v>
      </c>
      <c r="R7" s="4" t="str">
        <f t="shared" si="0"/>
        <v>Wed</v>
      </c>
      <c r="S7" s="4" t="str">
        <f t="shared" si="0"/>
        <v>Thu</v>
      </c>
      <c r="T7" s="4" t="str">
        <f t="shared" si="0"/>
        <v>Fri</v>
      </c>
      <c r="U7" s="4" t="str">
        <f t="shared" si="0"/>
        <v>Sat</v>
      </c>
      <c r="V7" s="4" t="str">
        <f t="shared" si="0"/>
        <v>Sun</v>
      </c>
      <c r="W7" s="4" t="str">
        <f t="shared" si="0"/>
        <v>Mon</v>
      </c>
      <c r="X7" s="4" t="str">
        <f t="shared" si="0"/>
        <v>Tue</v>
      </c>
      <c r="Y7" s="4" t="str">
        <f t="shared" si="0"/>
        <v>Wed</v>
      </c>
      <c r="Z7" s="4" t="str">
        <f t="shared" si="0"/>
        <v>Thu</v>
      </c>
      <c r="AA7" s="4" t="str">
        <f t="shared" si="0"/>
        <v>Fri</v>
      </c>
      <c r="AB7" s="4" t="str">
        <f t="shared" si="0"/>
        <v>Sat</v>
      </c>
      <c r="AC7" s="4" t="str">
        <f t="shared" si="0"/>
        <v>Sun</v>
      </c>
      <c r="AD7" s="4" t="str">
        <f t="shared" si="0"/>
        <v>Mon</v>
      </c>
      <c r="AE7" s="4" t="str">
        <f t="shared" si="0"/>
        <v>Tue</v>
      </c>
      <c r="AF7" s="4" t="str">
        <f t="shared" si="0"/>
        <v>Wed</v>
      </c>
      <c r="AG7" s="4" t="str">
        <f t="shared" si="0"/>
        <v>Thu</v>
      </c>
      <c r="AH7" s="4" t="str">
        <f t="shared" si="0"/>
        <v>Fri</v>
      </c>
      <c r="AI7" s="4" t="str">
        <f t="shared" si="0"/>
        <v>Sat</v>
      </c>
      <c r="AJ7" s="4" t="str">
        <f t="shared" si="0"/>
        <v>Sun</v>
      </c>
      <c r="AK7" s="4" t="str">
        <f t="shared" si="0"/>
        <v>Mon</v>
      </c>
      <c r="AL7" s="4" t="str">
        <f t="shared" si="0"/>
        <v>Tue</v>
      </c>
      <c r="AM7" s="4" t="str">
        <f t="shared" si="0"/>
        <v>Wed</v>
      </c>
      <c r="AN7" s="4" t="str">
        <f t="shared" si="0"/>
        <v>Thu</v>
      </c>
      <c r="AO7" s="4" t="str">
        <f t="shared" si="0"/>
        <v>Fri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46204</v>
      </c>
      <c r="L8" s="9">
        <f>IF(K8&lt;$L$5,K8+1,"")</f>
        <v>46205</v>
      </c>
      <c r="M8" s="9">
        <f t="shared" ref="M8:AM8" si="1">IF(L8&lt;$L$5,L8+1,"")</f>
        <v>46206</v>
      </c>
      <c r="N8" s="9">
        <f t="shared" si="1"/>
        <v>46207</v>
      </c>
      <c r="O8" s="9">
        <f t="shared" si="1"/>
        <v>46208</v>
      </c>
      <c r="P8" s="9">
        <f t="shared" si="1"/>
        <v>46209</v>
      </c>
      <c r="Q8" s="9">
        <f t="shared" si="1"/>
        <v>46210</v>
      </c>
      <c r="R8" s="9">
        <f t="shared" si="1"/>
        <v>46211</v>
      </c>
      <c r="S8" s="9">
        <f t="shared" si="1"/>
        <v>46212</v>
      </c>
      <c r="T8" s="9">
        <f t="shared" si="1"/>
        <v>46213</v>
      </c>
      <c r="U8" s="9">
        <f t="shared" si="1"/>
        <v>46214</v>
      </c>
      <c r="V8" s="9">
        <f t="shared" si="1"/>
        <v>46215</v>
      </c>
      <c r="W8" s="9">
        <f t="shared" si="1"/>
        <v>46216</v>
      </c>
      <c r="X8" s="9">
        <f t="shared" si="1"/>
        <v>46217</v>
      </c>
      <c r="Y8" s="9">
        <f t="shared" si="1"/>
        <v>46218</v>
      </c>
      <c r="Z8" s="9">
        <f t="shared" si="1"/>
        <v>46219</v>
      </c>
      <c r="AA8" s="9">
        <f t="shared" si="1"/>
        <v>46220</v>
      </c>
      <c r="AB8" s="9">
        <f t="shared" si="1"/>
        <v>46221</v>
      </c>
      <c r="AC8" s="9">
        <f t="shared" si="1"/>
        <v>46222</v>
      </c>
      <c r="AD8" s="9">
        <f t="shared" si="1"/>
        <v>46223</v>
      </c>
      <c r="AE8" s="9">
        <f t="shared" si="1"/>
        <v>46224</v>
      </c>
      <c r="AF8" s="9">
        <f t="shared" si="1"/>
        <v>46225</v>
      </c>
      <c r="AG8" s="9">
        <f t="shared" si="1"/>
        <v>46226</v>
      </c>
      <c r="AH8" s="9">
        <f t="shared" si="1"/>
        <v>46227</v>
      </c>
      <c r="AI8" s="9">
        <f t="shared" si="1"/>
        <v>46228</v>
      </c>
      <c r="AJ8" s="9">
        <f t="shared" si="1"/>
        <v>46229</v>
      </c>
      <c r="AK8" s="9">
        <f t="shared" si="1"/>
        <v>46230</v>
      </c>
      <c r="AL8" s="9">
        <f t="shared" si="1"/>
        <v>46231</v>
      </c>
      <c r="AM8" s="9">
        <f t="shared" si="1"/>
        <v>46232</v>
      </c>
      <c r="AN8" s="9">
        <f t="shared" ref="AN8:AO8" si="2">IF(AM8&lt;=$L$5,AM8+1,"")</f>
        <v>46233</v>
      </c>
      <c r="AO8" s="10">
        <f t="shared" si="2"/>
        <v>46234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/>
      <c r="O9" s="15" t="str">
        <f t="shared" ref="O9:AJ17" si="3">IF(O$7="Sun","WO","")</f>
        <v>WO</v>
      </c>
      <c r="P9" s="15"/>
      <c r="Q9" s="15"/>
      <c r="R9" s="15"/>
      <c r="S9" s="15"/>
      <c r="T9" s="15"/>
      <c r="U9" s="15"/>
      <c r="V9" s="15" t="str">
        <f t="shared" si="3"/>
        <v>WO</v>
      </c>
      <c r="W9" s="15"/>
      <c r="X9" s="15"/>
      <c r="Y9" s="15"/>
      <c r="Z9" s="15"/>
      <c r="AA9" s="15"/>
      <c r="AB9" s="15"/>
      <c r="AC9" s="15" t="str">
        <f t="shared" si="3"/>
        <v>WO</v>
      </c>
      <c r="AD9" s="15"/>
      <c r="AE9" s="15"/>
      <c r="AF9" s="15"/>
      <c r="AG9" s="15"/>
      <c r="AH9" s="15"/>
      <c r="AI9" s="15"/>
      <c r="AJ9" s="15" t="str">
        <f t="shared" si="3"/>
        <v>WO</v>
      </c>
      <c r="AK9" s="15"/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July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31</v>
      </c>
      <c r="BA9" s="30">
        <f>jul_repo[[#This Row],[Days]]-jul_repo[[#This Row],[Absent]]</f>
        <v>31</v>
      </c>
      <c r="BB9" s="31">
        <v>11000</v>
      </c>
      <c r="BC9" s="32">
        <f>jul_repo[[#This Row],[Salary]]/jul_repo[[#This Row],[Days]]</f>
        <v>354.83870967741933</v>
      </c>
      <c r="BD9" s="30">
        <f>jul_repo[[#This Row],[Per Day Salary]]*jul_repo[[#This Row],[Absent]]</f>
        <v>0</v>
      </c>
      <c r="BE9" s="30">
        <f>jul_repo[[#This Row],[Salary]]-jul_repo[[#This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/>
      <c r="O10" s="15" t="str">
        <f t="shared" si="3"/>
        <v>WO</v>
      </c>
      <c r="P10" s="15"/>
      <c r="Q10" s="15"/>
      <c r="R10" s="15"/>
      <c r="S10" s="15"/>
      <c r="T10" s="15"/>
      <c r="U10" s="15"/>
      <c r="V10" s="15" t="str">
        <f t="shared" si="3"/>
        <v>WO</v>
      </c>
      <c r="W10" s="15"/>
      <c r="X10" s="15"/>
      <c r="Y10" s="15"/>
      <c r="Z10" s="15"/>
      <c r="AA10" s="15"/>
      <c r="AB10" s="15"/>
      <c r="AC10" s="15" t="str">
        <f t="shared" si="3"/>
        <v>WO</v>
      </c>
      <c r="AD10" s="15"/>
      <c r="AE10" s="15"/>
      <c r="AF10" s="15"/>
      <c r="AG10" s="15" t="s">
        <v>81</v>
      </c>
      <c r="AH10" s="15"/>
      <c r="AI10" s="15"/>
      <c r="AJ10" s="15" t="str">
        <f t="shared" si="3"/>
        <v>WO</v>
      </c>
      <c r="AK10" s="15"/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July</v>
      </c>
      <c r="AU10" s="29" t="str">
        <f t="shared" ref="AU10:AU38" si="10">I10</f>
        <v>GAUTAM</v>
      </c>
      <c r="AV10" s="30">
        <f t="shared" si="5"/>
        <v>1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31</v>
      </c>
      <c r="BA10" s="30">
        <f>jul_repo[[#This Row],[Days]]-jul_repo[[#This Row],[Absent]]</f>
        <v>31</v>
      </c>
      <c r="BB10" s="31">
        <v>11000</v>
      </c>
      <c r="BC10" s="32">
        <f>jul_repo[[#This Row],[Salary]]/jul_repo[[#This Row],[Days]]</f>
        <v>354.83870967741933</v>
      </c>
      <c r="BD10" s="30">
        <f>jul_repo[[#This Row],[Per Day Salary]]*jul_repo[[#This Row],[Absent]]</f>
        <v>0</v>
      </c>
      <c r="BE10" s="30">
        <f>jul_repo[[#This Row],[Salary]]-jul_repo[[#This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/>
      <c r="O11" s="15" t="str">
        <f t="shared" si="3"/>
        <v>WO</v>
      </c>
      <c r="P11" s="15"/>
      <c r="Q11" s="15"/>
      <c r="R11" s="15"/>
      <c r="S11" s="15"/>
      <c r="T11" s="15"/>
      <c r="U11" s="15"/>
      <c r="V11" s="15" t="str">
        <f t="shared" si="3"/>
        <v>WO</v>
      </c>
      <c r="W11" s="15"/>
      <c r="X11" s="15"/>
      <c r="Y11" s="15"/>
      <c r="Z11" s="15"/>
      <c r="AA11" s="15"/>
      <c r="AB11" s="15"/>
      <c r="AC11" s="15" t="str">
        <f t="shared" si="3"/>
        <v>WO</v>
      </c>
      <c r="AD11" s="15"/>
      <c r="AE11" s="15"/>
      <c r="AF11" s="15"/>
      <c r="AG11" s="15"/>
      <c r="AH11" s="15"/>
      <c r="AI11" s="15"/>
      <c r="AJ11" s="15" t="str">
        <f t="shared" si="3"/>
        <v>WO</v>
      </c>
      <c r="AK11" s="15"/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July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31</v>
      </c>
      <c r="BA11" s="30">
        <f>jul_repo[[#This Row],[Days]]-jul_repo[[#This Row],[Absent]]</f>
        <v>31</v>
      </c>
      <c r="BB11" s="31">
        <v>11000</v>
      </c>
      <c r="BC11" s="32">
        <f>jul_repo[[#This Row],[Salary]]/jul_repo[[#This Row],[Days]]</f>
        <v>354.83870967741933</v>
      </c>
      <c r="BD11" s="30">
        <f>jul_repo[[#This Row],[Per Day Salary]]*jul_repo[[#This Row],[Absent]]</f>
        <v>0</v>
      </c>
      <c r="BE11" s="30">
        <f>jul_repo[[#This Row],[Salary]]-jul_repo[[#This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/>
      <c r="O12" s="15" t="str">
        <f t="shared" si="3"/>
        <v>WO</v>
      </c>
      <c r="P12" s="15"/>
      <c r="Q12" s="15"/>
      <c r="R12" s="15"/>
      <c r="S12" s="15"/>
      <c r="T12" s="15"/>
      <c r="U12" s="15"/>
      <c r="V12" s="15" t="str">
        <f t="shared" si="3"/>
        <v>WO</v>
      </c>
      <c r="W12" s="15"/>
      <c r="X12" s="15"/>
      <c r="Y12" s="15"/>
      <c r="Z12" s="15"/>
      <c r="AA12" s="15"/>
      <c r="AB12" s="15"/>
      <c r="AC12" s="15" t="str">
        <f t="shared" si="3"/>
        <v>WO</v>
      </c>
      <c r="AD12" s="15"/>
      <c r="AE12" s="15"/>
      <c r="AF12" s="15"/>
      <c r="AG12" s="15"/>
      <c r="AH12" s="15"/>
      <c r="AI12" s="15"/>
      <c r="AJ12" s="15" t="str">
        <f t="shared" si="3"/>
        <v>WO</v>
      </c>
      <c r="AK12" s="15"/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July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31</v>
      </c>
      <c r="BA12" s="30">
        <f>jul_repo[[#This Row],[Days]]-jul_repo[[#This Row],[Absent]]</f>
        <v>31</v>
      </c>
      <c r="BB12" s="31">
        <v>11000</v>
      </c>
      <c r="BC12" s="32">
        <f>jul_repo[[#This Row],[Salary]]/jul_repo[[#This Row],[Days]]</f>
        <v>354.83870967741933</v>
      </c>
      <c r="BD12" s="30">
        <f>jul_repo[[#This Row],[Per Day Salary]]*jul_repo[[#This Row],[Absent]]</f>
        <v>0</v>
      </c>
      <c r="BE12" s="30">
        <f>jul_repo[[#This Row],[Salary]]-jul_repo[[#This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/>
      <c r="O13" s="15" t="str">
        <f t="shared" si="3"/>
        <v>WO</v>
      </c>
      <c r="P13" s="15"/>
      <c r="Q13" s="15"/>
      <c r="R13" s="15"/>
      <c r="S13" s="15"/>
      <c r="T13" s="15"/>
      <c r="U13" s="15"/>
      <c r="V13" s="15" t="str">
        <f t="shared" si="3"/>
        <v>WO</v>
      </c>
      <c r="W13" s="15"/>
      <c r="X13" s="15"/>
      <c r="Y13" s="15"/>
      <c r="Z13" s="15"/>
      <c r="AA13" s="15"/>
      <c r="AB13" s="15"/>
      <c r="AC13" s="15" t="str">
        <f t="shared" si="3"/>
        <v>WO</v>
      </c>
      <c r="AD13" s="15"/>
      <c r="AE13" s="15"/>
      <c r="AF13" s="15"/>
      <c r="AG13" s="15"/>
      <c r="AH13" s="15"/>
      <c r="AI13" s="15"/>
      <c r="AJ13" s="15" t="str">
        <f t="shared" si="3"/>
        <v>WO</v>
      </c>
      <c r="AK13" s="15"/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July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31</v>
      </c>
      <c r="BA13" s="30">
        <f>jul_repo[[#This Row],[Days]]-jul_repo[[#This Row],[Absent]]</f>
        <v>31</v>
      </c>
      <c r="BB13" s="31">
        <v>0</v>
      </c>
      <c r="BC13" s="32">
        <f>jul_repo[[#This Row],[Salary]]/jul_repo[[#This Row],[Days]]</f>
        <v>0</v>
      </c>
      <c r="BD13" s="30">
        <f>jul_repo[[#This Row],[Per Day Salary]]*jul_repo[[#This Row],[Absent]]</f>
        <v>0</v>
      </c>
      <c r="BE13" s="30">
        <f>jul_repo[[#This Row],[Salary]]-jul_repo[[#This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/>
      <c r="O14" s="15" t="str">
        <f t="shared" si="3"/>
        <v>WO</v>
      </c>
      <c r="P14" s="15"/>
      <c r="Q14" s="15"/>
      <c r="R14" s="15"/>
      <c r="S14" s="15"/>
      <c r="T14" s="15"/>
      <c r="U14" s="15"/>
      <c r="V14" s="15" t="str">
        <f t="shared" si="3"/>
        <v>WO</v>
      </c>
      <c r="W14" s="15"/>
      <c r="X14" s="15"/>
      <c r="Y14" s="15"/>
      <c r="Z14" s="15"/>
      <c r="AA14" s="15"/>
      <c r="AB14" s="15"/>
      <c r="AC14" s="15" t="str">
        <f t="shared" si="3"/>
        <v>WO</v>
      </c>
      <c r="AD14" s="15"/>
      <c r="AE14" s="15"/>
      <c r="AF14" s="15"/>
      <c r="AG14" s="15"/>
      <c r="AH14" s="15"/>
      <c r="AI14" s="15"/>
      <c r="AJ14" s="15" t="str">
        <f t="shared" si="3"/>
        <v>WO</v>
      </c>
      <c r="AK14" s="15"/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July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31</v>
      </c>
      <c r="BA14" s="30">
        <f>jul_repo[[#This Row],[Days]]-jul_repo[[#This Row],[Absent]]</f>
        <v>31</v>
      </c>
      <c r="BB14" s="31">
        <v>0</v>
      </c>
      <c r="BC14" s="32">
        <f>jul_repo[[#This Row],[Salary]]/jul_repo[[#This Row],[Days]]</f>
        <v>0</v>
      </c>
      <c r="BD14" s="30">
        <f>jul_repo[[#This Row],[Per Day Salary]]*jul_repo[[#This Row],[Absent]]</f>
        <v>0</v>
      </c>
      <c r="BE14" s="30">
        <f>jul_repo[[#This Row],[Salary]]-jul_repo[[#This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/>
      <c r="O15" s="15" t="str">
        <f t="shared" si="3"/>
        <v>WO</v>
      </c>
      <c r="P15" s="15"/>
      <c r="Q15" s="15"/>
      <c r="R15" s="15"/>
      <c r="S15" s="15"/>
      <c r="T15" s="15"/>
      <c r="U15" s="15"/>
      <c r="V15" s="15" t="str">
        <f t="shared" si="3"/>
        <v>WO</v>
      </c>
      <c r="W15" s="15"/>
      <c r="X15" s="15"/>
      <c r="Y15" s="15"/>
      <c r="Z15" s="15"/>
      <c r="AA15" s="15"/>
      <c r="AB15" s="15"/>
      <c r="AC15" s="15" t="str">
        <f t="shared" si="3"/>
        <v>WO</v>
      </c>
      <c r="AD15" s="15"/>
      <c r="AE15" s="15"/>
      <c r="AF15" s="15"/>
      <c r="AG15" s="15"/>
      <c r="AH15" s="15"/>
      <c r="AI15" s="15"/>
      <c r="AJ15" s="15" t="str">
        <f t="shared" si="3"/>
        <v>WO</v>
      </c>
      <c r="AK15" s="15"/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July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31</v>
      </c>
      <c r="BA15" s="30">
        <f>jul_repo[[#This Row],[Days]]-jul_repo[[#This Row],[Absent]]</f>
        <v>31</v>
      </c>
      <c r="BB15" s="31">
        <v>0</v>
      </c>
      <c r="BC15" s="32">
        <f>jul_repo[[#This Row],[Salary]]/jul_repo[[#This Row],[Days]]</f>
        <v>0</v>
      </c>
      <c r="BD15" s="30">
        <f>jul_repo[[#This Row],[Per Day Salary]]*jul_repo[[#This Row],[Absent]]</f>
        <v>0</v>
      </c>
      <c r="BE15" s="30">
        <f>jul_repo[[#This Row],[Salary]]-jul_repo[[#This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/>
      <c r="O16" s="15" t="str">
        <f t="shared" si="3"/>
        <v>WO</v>
      </c>
      <c r="P16" s="15"/>
      <c r="Q16" s="15"/>
      <c r="R16" s="15"/>
      <c r="S16" s="15"/>
      <c r="T16" s="15"/>
      <c r="U16" s="15"/>
      <c r="V16" s="15" t="str">
        <f t="shared" si="3"/>
        <v>WO</v>
      </c>
      <c r="W16" s="15"/>
      <c r="X16" s="15"/>
      <c r="Y16" s="15"/>
      <c r="Z16" s="15"/>
      <c r="AA16" s="15"/>
      <c r="AB16" s="15"/>
      <c r="AC16" s="15" t="str">
        <f t="shared" si="3"/>
        <v>WO</v>
      </c>
      <c r="AD16" s="15"/>
      <c r="AE16" s="15"/>
      <c r="AF16" s="15"/>
      <c r="AG16" s="15"/>
      <c r="AH16" s="15"/>
      <c r="AI16" s="15"/>
      <c r="AJ16" s="15" t="str">
        <f t="shared" si="3"/>
        <v>WO</v>
      </c>
      <c r="AK16" s="15"/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July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31</v>
      </c>
      <c r="BA16" s="30">
        <f>jul_repo[[#This Row],[Days]]-jul_repo[[#This Row],[Absent]]</f>
        <v>31</v>
      </c>
      <c r="BB16" s="31">
        <v>0</v>
      </c>
      <c r="BC16" s="32">
        <f>jul_repo[[#This Row],[Salary]]/jul_repo[[#This Row],[Days]]</f>
        <v>0</v>
      </c>
      <c r="BD16" s="30">
        <f>jul_repo[[#This Row],[Per Day Salary]]*jul_repo[[#This Row],[Absent]]</f>
        <v>0</v>
      </c>
      <c r="BE16" s="30">
        <f>jul_repo[[#This Row],[Salary]]-jul_repo[[#This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/>
      <c r="O17" s="15" t="str">
        <f t="shared" si="3"/>
        <v>WO</v>
      </c>
      <c r="P17" s="15"/>
      <c r="Q17" s="15"/>
      <c r="R17" s="15"/>
      <c r="S17" s="15"/>
      <c r="T17" s="15"/>
      <c r="U17" s="15"/>
      <c r="V17" s="15" t="str">
        <f t="shared" si="3"/>
        <v>WO</v>
      </c>
      <c r="W17" s="15"/>
      <c r="X17" s="15"/>
      <c r="Y17" s="15"/>
      <c r="Z17" s="15"/>
      <c r="AA17" s="15"/>
      <c r="AB17" s="15"/>
      <c r="AC17" s="15" t="str">
        <f t="shared" ref="AC17:AJ34" si="11">IF(AC$7="Sun","WO","")</f>
        <v>WO</v>
      </c>
      <c r="AD17" s="15"/>
      <c r="AE17" s="15"/>
      <c r="AF17" s="15"/>
      <c r="AG17" s="15"/>
      <c r="AH17" s="15"/>
      <c r="AI17" s="15"/>
      <c r="AJ17" s="15" t="str">
        <f t="shared" si="11"/>
        <v>WO</v>
      </c>
      <c r="AK17" s="15"/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July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31</v>
      </c>
      <c r="BA17" s="30">
        <f>jul_repo[[#This Row],[Days]]-jul_repo[[#This Row],[Absent]]</f>
        <v>31</v>
      </c>
      <c r="BB17" s="31">
        <v>0</v>
      </c>
      <c r="BC17" s="32">
        <f>jul_repo[[#This Row],[Salary]]/jul_repo[[#This Row],[Days]]</f>
        <v>0</v>
      </c>
      <c r="BD17" s="30">
        <f>jul_repo[[#This Row],[Per Day Salary]]*jul_repo[[#This Row],[Absent]]</f>
        <v>0</v>
      </c>
      <c r="BE17" s="30">
        <f>jul_repo[[#This Row],[Salary]]-jul_repo[[#This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/>
      <c r="O18" s="15" t="str">
        <f t="shared" ref="O18:V33" si="12">IF(O$7="Sun","WO","")</f>
        <v>WO</v>
      </c>
      <c r="P18" s="15"/>
      <c r="Q18" s="15"/>
      <c r="R18" s="15"/>
      <c r="S18" s="15"/>
      <c r="T18" s="15"/>
      <c r="U18" s="15"/>
      <c r="V18" s="15" t="str">
        <f t="shared" si="12"/>
        <v>WO</v>
      </c>
      <c r="W18" s="15"/>
      <c r="X18" s="15"/>
      <c r="Y18" s="15"/>
      <c r="Z18" s="15"/>
      <c r="AA18" s="15"/>
      <c r="AB18" s="15"/>
      <c r="AC18" s="15" t="str">
        <f t="shared" si="11"/>
        <v>WO</v>
      </c>
      <c r="AD18" s="15"/>
      <c r="AE18" s="15"/>
      <c r="AF18" s="15"/>
      <c r="AG18" s="15"/>
      <c r="AH18" s="15"/>
      <c r="AI18" s="15"/>
      <c r="AJ18" s="15" t="str">
        <f t="shared" si="11"/>
        <v>WO</v>
      </c>
      <c r="AK18" s="15"/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July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31</v>
      </c>
      <c r="BA18" s="30">
        <f>jul_repo[[#This Row],[Days]]-jul_repo[[#This Row],[Absent]]</f>
        <v>31</v>
      </c>
      <c r="BB18" s="31">
        <v>0</v>
      </c>
      <c r="BC18" s="32">
        <f>jul_repo[[#This Row],[Salary]]/jul_repo[[#This Row],[Days]]</f>
        <v>0</v>
      </c>
      <c r="BD18" s="30">
        <f>jul_repo[[#This Row],[Per Day Salary]]*jul_repo[[#This Row],[Absent]]</f>
        <v>0</v>
      </c>
      <c r="BE18" s="30">
        <f>jul_repo[[#This Row],[Salary]]-jul_repo[[#This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/>
      <c r="O19" s="15" t="str">
        <f t="shared" si="12"/>
        <v>WO</v>
      </c>
      <c r="P19" s="15"/>
      <c r="Q19" s="15"/>
      <c r="R19" s="15"/>
      <c r="S19" s="15"/>
      <c r="T19" s="15"/>
      <c r="U19" s="15"/>
      <c r="V19" s="15" t="str">
        <f t="shared" si="12"/>
        <v>WO</v>
      </c>
      <c r="W19" s="15"/>
      <c r="X19" s="15"/>
      <c r="Y19" s="15"/>
      <c r="Z19" s="15"/>
      <c r="AA19" s="15"/>
      <c r="AB19" s="15"/>
      <c r="AC19" s="15" t="str">
        <f t="shared" si="11"/>
        <v>WO</v>
      </c>
      <c r="AD19" s="15"/>
      <c r="AE19" s="15"/>
      <c r="AF19" s="15"/>
      <c r="AG19" s="15"/>
      <c r="AH19" s="15"/>
      <c r="AI19" s="15"/>
      <c r="AJ19" s="15" t="str">
        <f t="shared" si="11"/>
        <v>WO</v>
      </c>
      <c r="AK19" s="15"/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July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31</v>
      </c>
      <c r="BA19" s="30">
        <f>jul_repo[[#This Row],[Days]]-jul_repo[[#This Row],[Absent]]</f>
        <v>31</v>
      </c>
      <c r="BB19" s="31">
        <v>0</v>
      </c>
      <c r="BC19" s="32">
        <f>jul_repo[[#This Row],[Salary]]/jul_repo[[#This Row],[Days]]</f>
        <v>0</v>
      </c>
      <c r="BD19" s="30">
        <f>jul_repo[[#This Row],[Per Day Salary]]*jul_repo[[#This Row],[Absent]]</f>
        <v>0</v>
      </c>
      <c r="BE19" s="30">
        <f>jul_repo[[#This Row],[Salary]]-jul_repo[[#This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/>
      <c r="O20" s="15" t="str">
        <f t="shared" si="12"/>
        <v>WO</v>
      </c>
      <c r="P20" s="15"/>
      <c r="Q20" s="15"/>
      <c r="R20" s="15"/>
      <c r="S20" s="15"/>
      <c r="T20" s="15"/>
      <c r="U20" s="15"/>
      <c r="V20" s="15" t="str">
        <f t="shared" si="12"/>
        <v>WO</v>
      </c>
      <c r="W20" s="15"/>
      <c r="X20" s="15"/>
      <c r="Y20" s="15"/>
      <c r="Z20" s="15"/>
      <c r="AA20" s="15"/>
      <c r="AB20" s="15"/>
      <c r="AC20" s="15" t="str">
        <f t="shared" si="11"/>
        <v>WO</v>
      </c>
      <c r="AD20" s="15"/>
      <c r="AE20" s="15"/>
      <c r="AF20" s="15"/>
      <c r="AG20" s="15"/>
      <c r="AH20" s="15"/>
      <c r="AI20" s="15"/>
      <c r="AJ20" s="15" t="str">
        <f t="shared" si="11"/>
        <v>WO</v>
      </c>
      <c r="AK20" s="15"/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July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31</v>
      </c>
      <c r="BA20" s="30">
        <f>jul_repo[[#This Row],[Days]]-jul_repo[[#This Row],[Absent]]</f>
        <v>31</v>
      </c>
      <c r="BB20" s="31">
        <v>0</v>
      </c>
      <c r="BC20" s="32">
        <f>jul_repo[[#This Row],[Salary]]/jul_repo[[#This Row],[Days]]</f>
        <v>0</v>
      </c>
      <c r="BD20" s="30">
        <f>jul_repo[[#This Row],[Per Day Salary]]*jul_repo[[#This Row],[Absent]]</f>
        <v>0</v>
      </c>
      <c r="BE20" s="30">
        <f>jul_repo[[#This Row],[Salary]]-jul_repo[[#This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/>
      <c r="O21" s="15" t="str">
        <f t="shared" si="12"/>
        <v>WO</v>
      </c>
      <c r="P21" s="15"/>
      <c r="Q21" s="15"/>
      <c r="R21" s="15"/>
      <c r="S21" s="15"/>
      <c r="T21" s="15"/>
      <c r="U21" s="15"/>
      <c r="V21" s="15" t="str">
        <f t="shared" si="12"/>
        <v>WO</v>
      </c>
      <c r="W21" s="15"/>
      <c r="X21" s="15"/>
      <c r="Y21" s="15"/>
      <c r="Z21" s="15"/>
      <c r="AA21" s="15"/>
      <c r="AB21" s="15"/>
      <c r="AC21" s="15" t="str">
        <f t="shared" si="11"/>
        <v>WO</v>
      </c>
      <c r="AD21" s="15"/>
      <c r="AE21" s="15"/>
      <c r="AF21" s="15"/>
      <c r="AG21" s="15"/>
      <c r="AH21" s="15"/>
      <c r="AI21" s="15"/>
      <c r="AJ21" s="15" t="str">
        <f t="shared" si="11"/>
        <v>WO</v>
      </c>
      <c r="AK21" s="15"/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July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31</v>
      </c>
      <c r="BA21" s="30">
        <f>jul_repo[[#This Row],[Days]]-jul_repo[[#This Row],[Absent]]</f>
        <v>31</v>
      </c>
      <c r="BB21" s="31">
        <v>0</v>
      </c>
      <c r="BC21" s="32">
        <f>jul_repo[[#This Row],[Salary]]/jul_repo[[#This Row],[Days]]</f>
        <v>0</v>
      </c>
      <c r="BD21" s="30">
        <f>jul_repo[[#This Row],[Per Day Salary]]*jul_repo[[#This Row],[Absent]]</f>
        <v>0</v>
      </c>
      <c r="BE21" s="30">
        <f>jul_repo[[#This Row],[Salary]]-jul_repo[[#This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/>
      <c r="O22" s="15" t="str">
        <f t="shared" si="12"/>
        <v>WO</v>
      </c>
      <c r="P22" s="15"/>
      <c r="Q22" s="15"/>
      <c r="R22" s="15"/>
      <c r="S22" s="15"/>
      <c r="T22" s="15"/>
      <c r="U22" s="15"/>
      <c r="V22" s="15" t="str">
        <f t="shared" si="12"/>
        <v>WO</v>
      </c>
      <c r="W22" s="15"/>
      <c r="X22" s="15"/>
      <c r="Y22" s="15"/>
      <c r="Z22" s="15"/>
      <c r="AA22" s="15"/>
      <c r="AB22" s="15"/>
      <c r="AC22" s="15" t="str">
        <f t="shared" si="11"/>
        <v>WO</v>
      </c>
      <c r="AD22" s="15"/>
      <c r="AE22" s="15"/>
      <c r="AF22" s="15"/>
      <c r="AG22" s="15"/>
      <c r="AH22" s="15"/>
      <c r="AI22" s="15"/>
      <c r="AJ22" s="15" t="str">
        <f t="shared" si="11"/>
        <v>WO</v>
      </c>
      <c r="AK22" s="15"/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July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31</v>
      </c>
      <c r="BA22" s="30">
        <f>jul_repo[[#This Row],[Days]]-jul_repo[[#This Row],[Absent]]</f>
        <v>31</v>
      </c>
      <c r="BB22" s="31">
        <v>0</v>
      </c>
      <c r="BC22" s="32">
        <f>jul_repo[[#This Row],[Salary]]/jul_repo[[#This Row],[Days]]</f>
        <v>0</v>
      </c>
      <c r="BD22" s="30">
        <f>jul_repo[[#This Row],[Per Day Salary]]*jul_repo[[#This Row],[Absent]]</f>
        <v>0</v>
      </c>
      <c r="BE22" s="30">
        <f>jul_repo[[#This Row],[Salary]]-jul_repo[[#This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/>
      <c r="O23" s="15" t="str">
        <f t="shared" si="12"/>
        <v>WO</v>
      </c>
      <c r="P23" s="15"/>
      <c r="Q23" s="15"/>
      <c r="R23" s="15"/>
      <c r="S23" s="15"/>
      <c r="T23" s="15"/>
      <c r="U23" s="15"/>
      <c r="V23" s="15" t="str">
        <f t="shared" si="12"/>
        <v>WO</v>
      </c>
      <c r="W23" s="15"/>
      <c r="X23" s="15"/>
      <c r="Y23" s="15"/>
      <c r="Z23" s="15"/>
      <c r="AA23" s="15"/>
      <c r="AB23" s="15"/>
      <c r="AC23" s="15" t="str">
        <f t="shared" si="11"/>
        <v>WO</v>
      </c>
      <c r="AD23" s="15"/>
      <c r="AE23" s="15"/>
      <c r="AF23" s="15"/>
      <c r="AG23" s="15"/>
      <c r="AH23" s="15"/>
      <c r="AI23" s="15"/>
      <c r="AJ23" s="15" t="str">
        <f t="shared" si="11"/>
        <v>WO</v>
      </c>
      <c r="AK23" s="15"/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July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31</v>
      </c>
      <c r="BA23" s="30">
        <f>jul_repo[[#This Row],[Days]]-jul_repo[[#This Row],[Absent]]</f>
        <v>31</v>
      </c>
      <c r="BB23" s="31">
        <v>0</v>
      </c>
      <c r="BC23" s="32">
        <f>jul_repo[[#This Row],[Salary]]/jul_repo[[#This Row],[Days]]</f>
        <v>0</v>
      </c>
      <c r="BD23" s="30">
        <f>jul_repo[[#This Row],[Per Day Salary]]*jul_repo[[#This Row],[Absent]]</f>
        <v>0</v>
      </c>
      <c r="BE23" s="30">
        <f>jul_repo[[#This Row],[Salary]]-jul_repo[[#This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/>
      <c r="O24" s="15" t="str">
        <f t="shared" si="12"/>
        <v>WO</v>
      </c>
      <c r="P24" s="15"/>
      <c r="Q24" s="15"/>
      <c r="R24" s="15"/>
      <c r="S24" s="15"/>
      <c r="T24" s="15"/>
      <c r="U24" s="15"/>
      <c r="V24" s="15" t="str">
        <f t="shared" si="12"/>
        <v>WO</v>
      </c>
      <c r="W24" s="15"/>
      <c r="X24" s="15"/>
      <c r="Y24" s="15"/>
      <c r="Z24" s="15"/>
      <c r="AA24" s="15"/>
      <c r="AB24" s="15"/>
      <c r="AC24" s="15" t="str">
        <f t="shared" si="11"/>
        <v>WO</v>
      </c>
      <c r="AD24" s="15"/>
      <c r="AE24" s="15"/>
      <c r="AF24" s="15"/>
      <c r="AG24" s="15"/>
      <c r="AH24" s="15"/>
      <c r="AI24" s="15"/>
      <c r="AJ24" s="15" t="str">
        <f t="shared" si="11"/>
        <v>WO</v>
      </c>
      <c r="AK24" s="15"/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July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31</v>
      </c>
      <c r="BA24" s="30">
        <f>jul_repo[[#This Row],[Days]]-jul_repo[[#This Row],[Absent]]</f>
        <v>31</v>
      </c>
      <c r="BB24" s="31">
        <v>0</v>
      </c>
      <c r="BC24" s="32">
        <f>jul_repo[[#This Row],[Salary]]/jul_repo[[#This Row],[Days]]</f>
        <v>0</v>
      </c>
      <c r="BD24" s="30">
        <f>jul_repo[[#This Row],[Per Day Salary]]*jul_repo[[#This Row],[Absent]]</f>
        <v>0</v>
      </c>
      <c r="BE24" s="30">
        <f>jul_repo[[#This Row],[Salary]]-jul_repo[[#This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/>
      <c r="O25" s="15" t="str">
        <f t="shared" si="12"/>
        <v>WO</v>
      </c>
      <c r="P25" s="15"/>
      <c r="Q25" s="15"/>
      <c r="R25" s="15"/>
      <c r="S25" s="15"/>
      <c r="T25" s="15"/>
      <c r="U25" s="15"/>
      <c r="V25" s="15" t="str">
        <f t="shared" si="12"/>
        <v>WO</v>
      </c>
      <c r="W25" s="15"/>
      <c r="X25" s="15"/>
      <c r="Y25" s="15"/>
      <c r="Z25" s="15"/>
      <c r="AA25" s="15"/>
      <c r="AB25" s="15"/>
      <c r="AC25" s="15" t="str">
        <f t="shared" si="11"/>
        <v>WO</v>
      </c>
      <c r="AD25" s="15"/>
      <c r="AE25" s="15"/>
      <c r="AF25" s="15"/>
      <c r="AG25" s="15"/>
      <c r="AH25" s="15"/>
      <c r="AI25" s="15"/>
      <c r="AJ25" s="15" t="str">
        <f t="shared" si="11"/>
        <v>WO</v>
      </c>
      <c r="AK25" s="15"/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July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31</v>
      </c>
      <c r="BA25" s="30">
        <f>jul_repo[[#This Row],[Days]]-jul_repo[[#This Row],[Absent]]</f>
        <v>31</v>
      </c>
      <c r="BB25" s="31">
        <v>0</v>
      </c>
      <c r="BC25" s="32">
        <f>jul_repo[[#This Row],[Salary]]/jul_repo[[#This Row],[Days]]</f>
        <v>0</v>
      </c>
      <c r="BD25" s="30">
        <f>jul_repo[[#This Row],[Per Day Salary]]*jul_repo[[#This Row],[Absent]]</f>
        <v>0</v>
      </c>
      <c r="BE25" s="30">
        <f>jul_repo[[#This Row],[Salary]]-jul_repo[[#This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/>
      <c r="O26" s="15" t="str">
        <f t="shared" si="12"/>
        <v>WO</v>
      </c>
      <c r="P26" s="15"/>
      <c r="Q26" s="15"/>
      <c r="R26" s="15"/>
      <c r="S26" s="15"/>
      <c r="T26" s="15"/>
      <c r="U26" s="15"/>
      <c r="V26" s="15" t="str">
        <f t="shared" si="12"/>
        <v>WO</v>
      </c>
      <c r="W26" s="15"/>
      <c r="X26" s="15"/>
      <c r="Y26" s="15"/>
      <c r="Z26" s="15"/>
      <c r="AA26" s="15"/>
      <c r="AB26" s="15"/>
      <c r="AC26" s="15" t="str">
        <f t="shared" si="11"/>
        <v>WO</v>
      </c>
      <c r="AD26" s="15"/>
      <c r="AE26" s="15"/>
      <c r="AF26" s="15"/>
      <c r="AG26" s="15"/>
      <c r="AH26" s="15"/>
      <c r="AI26" s="15"/>
      <c r="AJ26" s="15" t="str">
        <f t="shared" si="11"/>
        <v>WO</v>
      </c>
      <c r="AK26" s="15"/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July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31</v>
      </c>
      <c r="BA26" s="30">
        <f>jul_repo[[#This Row],[Days]]-jul_repo[[#This Row],[Absent]]</f>
        <v>31</v>
      </c>
      <c r="BB26" s="31">
        <v>0</v>
      </c>
      <c r="BC26" s="32">
        <f>jul_repo[[#This Row],[Salary]]/jul_repo[[#This Row],[Days]]</f>
        <v>0</v>
      </c>
      <c r="BD26" s="30">
        <f>jul_repo[[#This Row],[Per Day Salary]]*jul_repo[[#This Row],[Absent]]</f>
        <v>0</v>
      </c>
      <c r="BE26" s="30">
        <f>jul_repo[[#This Row],[Salary]]-jul_repo[[#This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/>
      <c r="O27" s="15" t="str">
        <f t="shared" si="12"/>
        <v>WO</v>
      </c>
      <c r="P27" s="15"/>
      <c r="Q27" s="15"/>
      <c r="R27" s="15"/>
      <c r="S27" s="15"/>
      <c r="T27" s="15"/>
      <c r="U27" s="15"/>
      <c r="V27" s="15" t="str">
        <f t="shared" si="12"/>
        <v>WO</v>
      </c>
      <c r="W27" s="15"/>
      <c r="X27" s="15"/>
      <c r="Y27" s="15"/>
      <c r="Z27" s="15"/>
      <c r="AA27" s="15"/>
      <c r="AB27" s="15"/>
      <c r="AC27" s="15" t="str">
        <f t="shared" si="11"/>
        <v>WO</v>
      </c>
      <c r="AD27" s="15"/>
      <c r="AE27" s="15"/>
      <c r="AF27" s="15"/>
      <c r="AG27" s="15"/>
      <c r="AH27" s="15"/>
      <c r="AI27" s="15"/>
      <c r="AJ27" s="15" t="str">
        <f t="shared" si="11"/>
        <v>WO</v>
      </c>
      <c r="AK27" s="15"/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July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31</v>
      </c>
      <c r="BA27" s="30">
        <f>jul_repo[[#This Row],[Days]]-jul_repo[[#This Row],[Absent]]</f>
        <v>31</v>
      </c>
      <c r="BB27" s="31">
        <v>0</v>
      </c>
      <c r="BC27" s="32">
        <f>jul_repo[[#This Row],[Salary]]/jul_repo[[#This Row],[Days]]</f>
        <v>0</v>
      </c>
      <c r="BD27" s="30">
        <f>jul_repo[[#This Row],[Per Day Salary]]*jul_repo[[#This Row],[Absent]]</f>
        <v>0</v>
      </c>
      <c r="BE27" s="30">
        <f>jul_repo[[#This Row],[Salary]]-jul_repo[[#This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/>
      <c r="O28" s="15" t="str">
        <f t="shared" si="12"/>
        <v>WO</v>
      </c>
      <c r="P28" s="15"/>
      <c r="Q28" s="15"/>
      <c r="R28" s="15"/>
      <c r="S28" s="15"/>
      <c r="T28" s="15"/>
      <c r="U28" s="15"/>
      <c r="V28" s="15" t="str">
        <f t="shared" si="12"/>
        <v>WO</v>
      </c>
      <c r="W28" s="15"/>
      <c r="X28" s="15"/>
      <c r="Y28" s="15"/>
      <c r="Z28" s="15"/>
      <c r="AA28" s="15"/>
      <c r="AB28" s="15"/>
      <c r="AC28" s="15" t="str">
        <f t="shared" si="11"/>
        <v>WO</v>
      </c>
      <c r="AD28" s="15"/>
      <c r="AE28" s="15"/>
      <c r="AF28" s="15"/>
      <c r="AG28" s="15"/>
      <c r="AH28" s="15"/>
      <c r="AI28" s="15"/>
      <c r="AJ28" s="15" t="str">
        <f t="shared" si="11"/>
        <v>WO</v>
      </c>
      <c r="AK28" s="15"/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July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31</v>
      </c>
      <c r="BA28" s="30">
        <f>jul_repo[[#This Row],[Days]]-jul_repo[[#This Row],[Absent]]</f>
        <v>31</v>
      </c>
      <c r="BB28" s="31">
        <v>0</v>
      </c>
      <c r="BC28" s="32">
        <f>jul_repo[[#This Row],[Salary]]/jul_repo[[#This Row],[Days]]</f>
        <v>0</v>
      </c>
      <c r="BD28" s="30">
        <f>jul_repo[[#This Row],[Per Day Salary]]*jul_repo[[#This Row],[Absent]]</f>
        <v>0</v>
      </c>
      <c r="BE28" s="30">
        <f>jul_repo[[#This Row],[Salary]]-jul_repo[[#This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/>
      <c r="O29" s="15" t="str">
        <f t="shared" si="12"/>
        <v>WO</v>
      </c>
      <c r="P29" s="15"/>
      <c r="Q29" s="15"/>
      <c r="R29" s="15"/>
      <c r="S29" s="15"/>
      <c r="T29" s="15"/>
      <c r="U29" s="15"/>
      <c r="V29" s="15" t="str">
        <f t="shared" si="12"/>
        <v>WO</v>
      </c>
      <c r="W29" s="15"/>
      <c r="X29" s="15"/>
      <c r="Y29" s="15"/>
      <c r="Z29" s="15"/>
      <c r="AA29" s="15"/>
      <c r="AB29" s="15"/>
      <c r="AC29" s="15" t="str">
        <f t="shared" si="11"/>
        <v>WO</v>
      </c>
      <c r="AD29" s="15"/>
      <c r="AE29" s="15"/>
      <c r="AF29" s="15"/>
      <c r="AG29" s="15"/>
      <c r="AH29" s="15"/>
      <c r="AI29" s="15"/>
      <c r="AJ29" s="15" t="str">
        <f t="shared" si="11"/>
        <v>WO</v>
      </c>
      <c r="AK29" s="15"/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July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31</v>
      </c>
      <c r="BA29" s="30">
        <f>jul_repo[[#This Row],[Days]]-jul_repo[[#This Row],[Absent]]</f>
        <v>31</v>
      </c>
      <c r="BB29" s="31">
        <v>0</v>
      </c>
      <c r="BC29" s="32">
        <f>jul_repo[[#This Row],[Salary]]/jul_repo[[#This Row],[Days]]</f>
        <v>0</v>
      </c>
      <c r="BD29" s="30">
        <f>jul_repo[[#This Row],[Per Day Salary]]*jul_repo[[#This Row],[Absent]]</f>
        <v>0</v>
      </c>
      <c r="BE29" s="30">
        <f>jul_repo[[#This Row],[Salary]]-jul_repo[[#This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/>
      <c r="O30" s="15" t="str">
        <f t="shared" si="12"/>
        <v>WO</v>
      </c>
      <c r="P30" s="15"/>
      <c r="Q30" s="15"/>
      <c r="R30" s="15"/>
      <c r="S30" s="15"/>
      <c r="T30" s="15"/>
      <c r="U30" s="15"/>
      <c r="V30" s="15" t="str">
        <f t="shared" si="12"/>
        <v>WO</v>
      </c>
      <c r="W30" s="15"/>
      <c r="X30" s="15"/>
      <c r="Y30" s="15"/>
      <c r="Z30" s="15"/>
      <c r="AA30" s="15"/>
      <c r="AB30" s="15"/>
      <c r="AC30" s="15" t="str">
        <f t="shared" si="11"/>
        <v>WO</v>
      </c>
      <c r="AD30" s="15"/>
      <c r="AE30" s="15"/>
      <c r="AF30" s="15"/>
      <c r="AG30" s="15"/>
      <c r="AH30" s="15"/>
      <c r="AI30" s="15"/>
      <c r="AJ30" s="15" t="str">
        <f t="shared" si="11"/>
        <v>WO</v>
      </c>
      <c r="AK30" s="15"/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July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31</v>
      </c>
      <c r="BA30" s="30">
        <f>jul_repo[[#This Row],[Days]]-jul_repo[[#This Row],[Absent]]</f>
        <v>31</v>
      </c>
      <c r="BB30" s="31">
        <v>0</v>
      </c>
      <c r="BC30" s="32">
        <f>jul_repo[[#This Row],[Salary]]/jul_repo[[#This Row],[Days]]</f>
        <v>0</v>
      </c>
      <c r="BD30" s="30">
        <f>jul_repo[[#This Row],[Per Day Salary]]*jul_repo[[#This Row],[Absent]]</f>
        <v>0</v>
      </c>
      <c r="BE30" s="30">
        <f>jul_repo[[#This Row],[Salary]]-jul_repo[[#This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/>
      <c r="O31" s="15" t="str">
        <f t="shared" si="12"/>
        <v>WO</v>
      </c>
      <c r="P31" s="15"/>
      <c r="Q31" s="15"/>
      <c r="R31" s="15"/>
      <c r="S31" s="15"/>
      <c r="T31" s="15"/>
      <c r="U31" s="15"/>
      <c r="V31" s="15" t="str">
        <f t="shared" si="12"/>
        <v>WO</v>
      </c>
      <c r="W31" s="15"/>
      <c r="X31" s="15"/>
      <c r="Y31" s="15"/>
      <c r="Z31" s="15"/>
      <c r="AA31" s="15"/>
      <c r="AB31" s="15"/>
      <c r="AC31" s="15" t="str">
        <f t="shared" si="11"/>
        <v>WO</v>
      </c>
      <c r="AD31" s="15"/>
      <c r="AE31" s="15"/>
      <c r="AF31" s="15"/>
      <c r="AG31" s="15"/>
      <c r="AH31" s="15"/>
      <c r="AI31" s="15"/>
      <c r="AJ31" s="15" t="str">
        <f t="shared" si="11"/>
        <v>WO</v>
      </c>
      <c r="AK31" s="15"/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July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31</v>
      </c>
      <c r="BA31" s="30">
        <f>jul_repo[[#This Row],[Days]]-jul_repo[[#This Row],[Absent]]</f>
        <v>31</v>
      </c>
      <c r="BB31" s="31">
        <v>0</v>
      </c>
      <c r="BC31" s="32">
        <f>jul_repo[[#This Row],[Salary]]/jul_repo[[#This Row],[Days]]</f>
        <v>0</v>
      </c>
      <c r="BD31" s="30">
        <f>jul_repo[[#This Row],[Per Day Salary]]*jul_repo[[#This Row],[Absent]]</f>
        <v>0</v>
      </c>
      <c r="BE31" s="30">
        <f>jul_repo[[#This Row],[Salary]]-jul_repo[[#This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/>
      <c r="O32" s="15" t="str">
        <f t="shared" si="12"/>
        <v>WO</v>
      </c>
      <c r="P32" s="15"/>
      <c r="Q32" s="15"/>
      <c r="R32" s="15"/>
      <c r="S32" s="15"/>
      <c r="T32" s="15"/>
      <c r="U32" s="15"/>
      <c r="V32" s="15" t="str">
        <f t="shared" si="12"/>
        <v>WO</v>
      </c>
      <c r="W32" s="15"/>
      <c r="X32" s="15"/>
      <c r="Y32" s="15"/>
      <c r="Z32" s="15"/>
      <c r="AA32" s="15"/>
      <c r="AB32" s="15"/>
      <c r="AC32" s="15" t="str">
        <f t="shared" si="11"/>
        <v>WO</v>
      </c>
      <c r="AD32" s="15"/>
      <c r="AE32" s="15"/>
      <c r="AF32" s="15"/>
      <c r="AG32" s="15"/>
      <c r="AH32" s="15"/>
      <c r="AI32" s="15"/>
      <c r="AJ32" s="15" t="str">
        <f t="shared" si="11"/>
        <v>WO</v>
      </c>
      <c r="AK32" s="15"/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July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31</v>
      </c>
      <c r="BA32" s="30">
        <f>jul_repo[[#This Row],[Days]]-jul_repo[[#This Row],[Absent]]</f>
        <v>31</v>
      </c>
      <c r="BB32" s="31">
        <v>0</v>
      </c>
      <c r="BC32" s="32">
        <f>jul_repo[[#This Row],[Salary]]/jul_repo[[#This Row],[Days]]</f>
        <v>0</v>
      </c>
      <c r="BD32" s="30">
        <f>jul_repo[[#This Row],[Per Day Salary]]*jul_repo[[#This Row],[Absent]]</f>
        <v>0</v>
      </c>
      <c r="BE32" s="30">
        <f>jul_repo[[#This Row],[Salary]]-jul_repo[[#This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/>
      <c r="O33" s="15" t="str">
        <f t="shared" si="12"/>
        <v>WO</v>
      </c>
      <c r="P33" s="15"/>
      <c r="Q33" s="15"/>
      <c r="R33" s="15"/>
      <c r="S33" s="15"/>
      <c r="T33" s="15"/>
      <c r="U33" s="15"/>
      <c r="V33" s="15" t="str">
        <f t="shared" ref="V33:AC38" si="13">IF(V$7="Sun","WO","")</f>
        <v>WO</v>
      </c>
      <c r="W33" s="15"/>
      <c r="X33" s="15"/>
      <c r="Y33" s="15"/>
      <c r="Z33" s="15"/>
      <c r="AA33" s="15"/>
      <c r="AB33" s="15"/>
      <c r="AC33" s="15" t="str">
        <f t="shared" si="13"/>
        <v>WO</v>
      </c>
      <c r="AD33" s="15"/>
      <c r="AE33" s="15"/>
      <c r="AF33" s="15"/>
      <c r="AG33" s="15"/>
      <c r="AH33" s="15"/>
      <c r="AI33" s="15"/>
      <c r="AJ33" s="15" t="str">
        <f t="shared" si="11"/>
        <v>WO</v>
      </c>
      <c r="AK33" s="15"/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July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31</v>
      </c>
      <c r="BA33" s="30">
        <f>jul_repo[[#This Row],[Days]]-jul_repo[[#This Row],[Absent]]</f>
        <v>31</v>
      </c>
      <c r="BB33" s="31">
        <v>0</v>
      </c>
      <c r="BC33" s="32">
        <f>jul_repo[[#This Row],[Salary]]/jul_repo[[#This Row],[Days]]</f>
        <v>0</v>
      </c>
      <c r="BD33" s="30">
        <f>jul_repo[[#This Row],[Per Day Salary]]*jul_repo[[#This Row],[Absent]]</f>
        <v>0</v>
      </c>
      <c r="BE33" s="30">
        <f>jul_repo[[#This Row],[Salary]]-jul_repo[[#This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/>
      <c r="O34" s="15" t="str">
        <f t="shared" ref="O34:V38" si="14">IF(O$7="Sun","WO","")</f>
        <v>WO</v>
      </c>
      <c r="P34" s="15"/>
      <c r="Q34" s="15"/>
      <c r="R34" s="15"/>
      <c r="S34" s="15"/>
      <c r="T34" s="15"/>
      <c r="U34" s="15"/>
      <c r="V34" s="15" t="str">
        <f t="shared" si="14"/>
        <v>WO</v>
      </c>
      <c r="W34" s="15"/>
      <c r="X34" s="15"/>
      <c r="Y34" s="15"/>
      <c r="Z34" s="15"/>
      <c r="AA34" s="15"/>
      <c r="AB34" s="15"/>
      <c r="AC34" s="15" t="str">
        <f t="shared" si="13"/>
        <v>WO</v>
      </c>
      <c r="AD34" s="15"/>
      <c r="AE34" s="15"/>
      <c r="AF34" s="15"/>
      <c r="AG34" s="15"/>
      <c r="AH34" s="15"/>
      <c r="AI34" s="15"/>
      <c r="AJ34" s="15" t="str">
        <f t="shared" si="11"/>
        <v>WO</v>
      </c>
      <c r="AK34" s="15"/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July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31</v>
      </c>
      <c r="BA34" s="30">
        <f>jul_repo[[#This Row],[Days]]-jul_repo[[#This Row],[Absent]]</f>
        <v>31</v>
      </c>
      <c r="BB34" s="31">
        <v>0</v>
      </c>
      <c r="BC34" s="32">
        <f>jul_repo[[#This Row],[Salary]]/jul_repo[[#This Row],[Days]]</f>
        <v>0</v>
      </c>
      <c r="BD34" s="30">
        <f>jul_repo[[#This Row],[Per Day Salary]]*jul_repo[[#This Row],[Absent]]</f>
        <v>0</v>
      </c>
      <c r="BE34" s="30">
        <f>jul_repo[[#This Row],[Salary]]-jul_repo[[#This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/>
      <c r="O35" s="15" t="str">
        <f t="shared" si="14"/>
        <v>WO</v>
      </c>
      <c r="P35" s="15"/>
      <c r="Q35" s="15"/>
      <c r="R35" s="15"/>
      <c r="S35" s="15"/>
      <c r="T35" s="15"/>
      <c r="U35" s="15"/>
      <c r="V35" s="15" t="str">
        <f t="shared" si="14"/>
        <v>WO</v>
      </c>
      <c r="W35" s="15"/>
      <c r="X35" s="15"/>
      <c r="Y35" s="15"/>
      <c r="Z35" s="15"/>
      <c r="AA35" s="15"/>
      <c r="AB35" s="15"/>
      <c r="AC35" s="15" t="str">
        <f t="shared" si="13"/>
        <v>WO</v>
      </c>
      <c r="AD35" s="15"/>
      <c r="AE35" s="15"/>
      <c r="AF35" s="15"/>
      <c r="AG35" s="15"/>
      <c r="AH35" s="15"/>
      <c r="AI35" s="15"/>
      <c r="AJ35" s="15" t="str">
        <f t="shared" ref="AJ35:AJ38" si="15">IF(AJ$7="Sun","WO","")</f>
        <v>WO</v>
      </c>
      <c r="AK35" s="15"/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July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31</v>
      </c>
      <c r="BA35" s="30">
        <f>jul_repo[[#This Row],[Days]]-jul_repo[[#This Row],[Absent]]</f>
        <v>31</v>
      </c>
      <c r="BB35" s="31">
        <v>0</v>
      </c>
      <c r="BC35" s="32">
        <f>jul_repo[[#This Row],[Salary]]/jul_repo[[#This Row],[Days]]</f>
        <v>0</v>
      </c>
      <c r="BD35" s="30">
        <f>jul_repo[[#This Row],[Per Day Salary]]*jul_repo[[#This Row],[Absent]]</f>
        <v>0</v>
      </c>
      <c r="BE35" s="30">
        <f>jul_repo[[#This Row],[Salary]]-jul_repo[[#This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/>
      <c r="O36" s="15" t="str">
        <f t="shared" si="14"/>
        <v>WO</v>
      </c>
      <c r="P36" s="15"/>
      <c r="Q36" s="15"/>
      <c r="R36" s="15"/>
      <c r="S36" s="15"/>
      <c r="T36" s="15"/>
      <c r="U36" s="15"/>
      <c r="V36" s="15" t="str">
        <f t="shared" si="14"/>
        <v>WO</v>
      </c>
      <c r="W36" s="15"/>
      <c r="X36" s="15"/>
      <c r="Y36" s="15"/>
      <c r="Z36" s="15"/>
      <c r="AA36" s="15"/>
      <c r="AB36" s="15"/>
      <c r="AC36" s="15" t="str">
        <f t="shared" si="13"/>
        <v>WO</v>
      </c>
      <c r="AD36" s="15"/>
      <c r="AE36" s="15"/>
      <c r="AF36" s="15"/>
      <c r="AG36" s="15"/>
      <c r="AH36" s="15"/>
      <c r="AI36" s="15"/>
      <c r="AJ36" s="15" t="str">
        <f t="shared" si="15"/>
        <v>WO</v>
      </c>
      <c r="AK36" s="15"/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July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31</v>
      </c>
      <c r="BA36" s="30">
        <f>jul_repo[[#This Row],[Days]]-jul_repo[[#This Row],[Absent]]</f>
        <v>31</v>
      </c>
      <c r="BB36" s="31">
        <v>0</v>
      </c>
      <c r="BC36" s="32">
        <f>jul_repo[[#This Row],[Salary]]/jul_repo[[#This Row],[Days]]</f>
        <v>0</v>
      </c>
      <c r="BD36" s="30">
        <f>jul_repo[[#This Row],[Per Day Salary]]*jul_repo[[#This Row],[Absent]]</f>
        <v>0</v>
      </c>
      <c r="BE36" s="30">
        <f>jul_repo[[#This Row],[Salary]]-jul_repo[[#This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/>
      <c r="O37" s="15" t="str">
        <f t="shared" si="14"/>
        <v>WO</v>
      </c>
      <c r="P37" s="15"/>
      <c r="Q37" s="15"/>
      <c r="R37" s="15"/>
      <c r="S37" s="15"/>
      <c r="T37" s="15"/>
      <c r="U37" s="15"/>
      <c r="V37" s="15" t="str">
        <f t="shared" si="14"/>
        <v>WO</v>
      </c>
      <c r="W37" s="15"/>
      <c r="X37" s="15"/>
      <c r="Y37" s="15"/>
      <c r="Z37" s="15"/>
      <c r="AA37" s="15"/>
      <c r="AB37" s="15"/>
      <c r="AC37" s="15" t="str">
        <f t="shared" si="13"/>
        <v>WO</v>
      </c>
      <c r="AD37" s="15"/>
      <c r="AE37" s="15"/>
      <c r="AF37" s="15"/>
      <c r="AG37" s="15"/>
      <c r="AH37" s="15"/>
      <c r="AI37" s="15"/>
      <c r="AJ37" s="15" t="str">
        <f t="shared" si="15"/>
        <v>WO</v>
      </c>
      <c r="AK37" s="15"/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July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31</v>
      </c>
      <c r="BA37" s="30">
        <f>jul_repo[[#This Row],[Days]]-jul_repo[[#This Row],[Absent]]</f>
        <v>31</v>
      </c>
      <c r="BB37" s="31">
        <v>0</v>
      </c>
      <c r="BC37" s="32">
        <f>jul_repo[[#This Row],[Salary]]/jul_repo[[#This Row],[Days]]</f>
        <v>0</v>
      </c>
      <c r="BD37" s="30">
        <f>jul_repo[[#This Row],[Per Day Salary]]*jul_repo[[#This Row],[Absent]]</f>
        <v>0</v>
      </c>
      <c r="BE37" s="30">
        <f>jul_repo[[#This Row],[Salary]]-jul_repo[[#This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/>
      <c r="O38" s="21" t="str">
        <f t="shared" si="14"/>
        <v>WO</v>
      </c>
      <c r="P38" s="21"/>
      <c r="Q38" s="21"/>
      <c r="R38" s="21"/>
      <c r="S38" s="21"/>
      <c r="T38" s="21"/>
      <c r="U38" s="21"/>
      <c r="V38" s="21" t="str">
        <f t="shared" si="14"/>
        <v>WO</v>
      </c>
      <c r="W38" s="21"/>
      <c r="X38" s="21"/>
      <c r="Y38" s="21"/>
      <c r="Z38" s="21"/>
      <c r="AA38" s="21"/>
      <c r="AB38" s="21"/>
      <c r="AC38" s="21" t="str">
        <f t="shared" si="13"/>
        <v>WO</v>
      </c>
      <c r="AD38" s="21"/>
      <c r="AE38" s="21"/>
      <c r="AF38" s="21"/>
      <c r="AG38" s="21"/>
      <c r="AH38" s="21"/>
      <c r="AI38" s="21"/>
      <c r="AJ38" s="21" t="str">
        <f t="shared" si="15"/>
        <v>WO</v>
      </c>
      <c r="AK38" s="21"/>
      <c r="AL38" s="21"/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July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31</v>
      </c>
      <c r="BA38" s="30">
        <f>jul_repo[[#This Row],[Days]]-jul_repo[[#This Row],[Absent]]</f>
        <v>31</v>
      </c>
      <c r="BB38" s="31">
        <v>0</v>
      </c>
      <c r="BC38" s="32">
        <f>jul_repo[[#This Row],[Salary]]/jul_repo[[#This Row],[Days]]</f>
        <v>0</v>
      </c>
      <c r="BD38" s="30">
        <f>jul_repo[[#This Row],[Per Day Salary]]*jul_repo[[#This Row],[Absent]]</f>
        <v>0</v>
      </c>
      <c r="BE38" s="30">
        <f>jul_repo[[#This Row],[Salary]]-jul_repo[[#This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185" priority="12" operator="containsText" text="WO">
      <formula>NOT(ISERROR(SEARCH("WO",H5)))</formula>
    </cfRule>
  </conditionalFormatting>
  <conditionalFormatting sqref="K9">
    <cfRule type="containsText" dxfId="184" priority="5" operator="containsText" text="L">
      <formula>NOT(ISERROR(SEARCH("L",K9)))</formula>
    </cfRule>
    <cfRule type="containsText" dxfId="183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182" priority="9" operator="containsText" text="WO">
      <formula>NOT(ISERROR(SEARCH("WO",A1)))</formula>
    </cfRule>
    <cfRule type="containsText" dxfId="181" priority="10" operator="containsText" text="WO">
      <formula>NOT(ISERROR(SEARCH("WO",A1)))</formula>
    </cfRule>
  </conditionalFormatting>
  <conditionalFormatting sqref="K9:AO38">
    <cfRule type="containsText" dxfId="180" priority="6" operator="containsText" text="L">
      <formula>NOT(ISERROR(SEARCH("L",K9)))</formula>
    </cfRule>
    <cfRule type="containsText" dxfId="179" priority="7" operator="containsText" text="A">
      <formula>NOT(ISERROR(SEARCH("A",K9)))</formula>
    </cfRule>
    <cfRule type="containsText" dxfId="178" priority="8" operator="containsText" text="P">
      <formula>NOT(ISERROR(SEARCH("P",K9)))</formula>
    </cfRule>
  </conditionalFormatting>
  <conditionalFormatting sqref="BB9:BB38">
    <cfRule type="containsText" dxfId="177" priority="3" operator="containsText" text="WO">
      <formula>NOT(ISERROR(SEARCH("WO",BB9)))</formula>
    </cfRule>
    <cfRule type="containsText" dxfId="176" priority="4" operator="containsText" text="WO">
      <formula>NOT(ISERROR(SEARCH("WO",BB9)))</formula>
    </cfRule>
  </conditionalFormatting>
  <conditionalFormatting sqref="I9:I12">
    <cfRule type="containsText" dxfId="175" priority="1" operator="containsText" text="WO">
      <formula>NOT(ISERROR(SEARCH("WO",I9)))</formula>
    </cfRule>
    <cfRule type="containsText" dxfId="174" priority="2" operator="containsText" text="WO">
      <formula>NOT(ISERROR(SEARCH("WO",I9)))</formula>
    </cfRule>
  </conditionalFormatting>
  <dataValidations count="1">
    <dataValidation type="list" allowBlank="1" showInputMessage="1" showErrorMessage="1" sqref="K9:N38 P9:U38 W9:AB38 AD9:AI38 AK9:AO38" xr:uid="{00000000-0002-0000-06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600-000006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JUL!AV9:AY9</xm:f>
              <xm:sqref>BF9</xm:sqref>
            </x14:sparkline>
            <x14:sparkline>
              <xm:f>JUL!AV10:AY10</xm:f>
              <xm:sqref>BF10</xm:sqref>
            </x14:sparkline>
            <x14:sparkline>
              <xm:f>JUL!AV11:AY11</xm:f>
              <xm:sqref>BF11</xm:sqref>
            </x14:sparkline>
            <x14:sparkline>
              <xm:f>JUL!AV12:AY12</xm:f>
              <xm:sqref>BF12</xm:sqref>
            </x14:sparkline>
            <x14:sparkline>
              <xm:f>JUL!AV13:AY13</xm:f>
              <xm:sqref>BF13</xm:sqref>
            </x14:sparkline>
            <x14:sparkline>
              <xm:f>JUL!AV14:AY14</xm:f>
              <xm:sqref>BF14</xm:sqref>
            </x14:sparkline>
            <x14:sparkline>
              <xm:f>JUL!AV15:AY15</xm:f>
              <xm:sqref>BF15</xm:sqref>
            </x14:sparkline>
            <x14:sparkline>
              <xm:f>JUL!AV16:AY16</xm:f>
              <xm:sqref>BF16</xm:sqref>
            </x14:sparkline>
            <x14:sparkline>
              <xm:f>JUL!AV17:AY17</xm:f>
              <xm:sqref>BF17</xm:sqref>
            </x14:sparkline>
            <x14:sparkline>
              <xm:f>JUL!AV18:AY18</xm:f>
              <xm:sqref>BF18</xm:sqref>
            </x14:sparkline>
            <x14:sparkline>
              <xm:f>JUL!AV19:AY19</xm:f>
              <xm:sqref>BF19</xm:sqref>
            </x14:sparkline>
            <x14:sparkline>
              <xm:f>JUL!AV20:AY20</xm:f>
              <xm:sqref>BF20</xm:sqref>
            </x14:sparkline>
            <x14:sparkline>
              <xm:f>JUL!AV21:AY21</xm:f>
              <xm:sqref>BF21</xm:sqref>
            </x14:sparkline>
            <x14:sparkline>
              <xm:f>JUL!AV22:AY22</xm:f>
              <xm:sqref>BF22</xm:sqref>
            </x14:sparkline>
            <x14:sparkline>
              <xm:f>JUL!AV23:AY23</xm:f>
              <xm:sqref>BF23</xm:sqref>
            </x14:sparkline>
            <x14:sparkline>
              <xm:f>JUL!AV24:AY24</xm:f>
              <xm:sqref>BF24</xm:sqref>
            </x14:sparkline>
            <x14:sparkline>
              <xm:f>JUL!AV25:AY25</xm:f>
              <xm:sqref>BF25</xm:sqref>
            </x14:sparkline>
            <x14:sparkline>
              <xm:f>JUL!AV26:AY26</xm:f>
              <xm:sqref>BF26</xm:sqref>
            </x14:sparkline>
            <x14:sparkline>
              <xm:f>JUL!AV27:AY27</xm:f>
              <xm:sqref>BF27</xm:sqref>
            </x14:sparkline>
            <x14:sparkline>
              <xm:f>JUL!AV28:AY28</xm:f>
              <xm:sqref>BF28</xm:sqref>
            </x14:sparkline>
            <x14:sparkline>
              <xm:f>JUL!AV29:AY29</xm:f>
              <xm:sqref>BF29</xm:sqref>
            </x14:sparkline>
            <x14:sparkline>
              <xm:f>JUL!AV30:AY30</xm:f>
              <xm:sqref>BF30</xm:sqref>
            </x14:sparkline>
            <x14:sparkline>
              <xm:f>JUL!AV31:AY31</xm:f>
              <xm:sqref>BF31</xm:sqref>
            </x14:sparkline>
            <x14:sparkline>
              <xm:f>JUL!AV32:AY32</xm:f>
              <xm:sqref>BF32</xm:sqref>
            </x14:sparkline>
            <x14:sparkline>
              <xm:f>JUL!AV33:AY33</xm:f>
              <xm:sqref>BF33</xm:sqref>
            </x14:sparkline>
            <x14:sparkline>
              <xm:f>JUL!AV34:AY34</xm:f>
              <xm:sqref>BF34</xm:sqref>
            </x14:sparkline>
            <x14:sparkline>
              <xm:f>JUL!AV35:AY35</xm:f>
              <xm:sqref>BF35</xm:sqref>
            </x14:sparkline>
            <x14:sparkline>
              <xm:f>JUL!AV36:AY36</xm:f>
              <xm:sqref>BF36</xm:sqref>
            </x14:sparkline>
            <x14:sparkline>
              <xm:f>JUL!AV37:AY37</xm:f>
              <xm:sqref>BF37</xm:sqref>
            </x14:sparkline>
            <x14:sparkline>
              <xm:f>JUL!AV38:AY38</xm:f>
              <xm:sqref>BF38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Z163"/>
  <sheetViews>
    <sheetView topLeftCell="F10" zoomScaleNormal="10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46235</v>
      </c>
      <c r="I5" s="42">
        <f>(DATEDIF($H$5,$L$5,"D"))+1</f>
        <v>31</v>
      </c>
      <c r="J5" s="42" t="str">
        <f>TEXT(H5,"MMMM")</f>
        <v>August</v>
      </c>
      <c r="K5" s="42" t="s">
        <v>64</v>
      </c>
      <c r="L5" s="46">
        <f>EOMONTH(H5,0)</f>
        <v>46265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Sat</v>
      </c>
      <c r="L7" s="4" t="str">
        <f t="shared" ref="L7:AO7" si="0">TEXT(L8,"DDD")</f>
        <v>Sun</v>
      </c>
      <c r="M7" s="4" t="str">
        <f t="shared" si="0"/>
        <v>Mon</v>
      </c>
      <c r="N7" s="4" t="str">
        <f t="shared" si="0"/>
        <v>Tue</v>
      </c>
      <c r="O7" s="4" t="str">
        <f t="shared" si="0"/>
        <v>Wed</v>
      </c>
      <c r="P7" s="4" t="str">
        <f t="shared" si="0"/>
        <v>Thu</v>
      </c>
      <c r="Q7" s="4" t="str">
        <f t="shared" si="0"/>
        <v>Fri</v>
      </c>
      <c r="R7" s="4" t="str">
        <f t="shared" si="0"/>
        <v>Sat</v>
      </c>
      <c r="S7" s="4" t="str">
        <f t="shared" si="0"/>
        <v>Sun</v>
      </c>
      <c r="T7" s="4" t="str">
        <f t="shared" si="0"/>
        <v>Mon</v>
      </c>
      <c r="U7" s="4" t="str">
        <f t="shared" si="0"/>
        <v>Tue</v>
      </c>
      <c r="V7" s="4" t="str">
        <f t="shared" si="0"/>
        <v>Wed</v>
      </c>
      <c r="W7" s="4" t="str">
        <f t="shared" si="0"/>
        <v>Thu</v>
      </c>
      <c r="X7" s="4" t="str">
        <f t="shared" si="0"/>
        <v>Fri</v>
      </c>
      <c r="Y7" s="4" t="str">
        <f t="shared" si="0"/>
        <v>Sat</v>
      </c>
      <c r="Z7" s="4" t="str">
        <f t="shared" si="0"/>
        <v>Sun</v>
      </c>
      <c r="AA7" s="4" t="str">
        <f t="shared" si="0"/>
        <v>Mon</v>
      </c>
      <c r="AB7" s="4" t="str">
        <f t="shared" si="0"/>
        <v>Tue</v>
      </c>
      <c r="AC7" s="4" t="str">
        <f t="shared" si="0"/>
        <v>Wed</v>
      </c>
      <c r="AD7" s="4" t="str">
        <f t="shared" si="0"/>
        <v>Thu</v>
      </c>
      <c r="AE7" s="4" t="str">
        <f t="shared" si="0"/>
        <v>Fri</v>
      </c>
      <c r="AF7" s="4" t="str">
        <f t="shared" si="0"/>
        <v>Sat</v>
      </c>
      <c r="AG7" s="4" t="str">
        <f t="shared" si="0"/>
        <v>Sun</v>
      </c>
      <c r="AH7" s="4" t="str">
        <f t="shared" si="0"/>
        <v>Mon</v>
      </c>
      <c r="AI7" s="4" t="str">
        <f t="shared" si="0"/>
        <v>Tue</v>
      </c>
      <c r="AJ7" s="4" t="str">
        <f t="shared" si="0"/>
        <v>Wed</v>
      </c>
      <c r="AK7" s="4" t="str">
        <f t="shared" si="0"/>
        <v>Thu</v>
      </c>
      <c r="AL7" s="4" t="str">
        <f t="shared" si="0"/>
        <v>Fri</v>
      </c>
      <c r="AM7" s="4" t="str">
        <f t="shared" si="0"/>
        <v>Sat</v>
      </c>
      <c r="AN7" s="4" t="str">
        <f t="shared" si="0"/>
        <v>Sun</v>
      </c>
      <c r="AO7" s="4" t="str">
        <f t="shared" si="0"/>
        <v>Mon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46235</v>
      </c>
      <c r="L8" s="9">
        <f>IF(K8&lt;$L$5,K8+1,"")</f>
        <v>46236</v>
      </c>
      <c r="M8" s="9">
        <f t="shared" ref="M8:AM8" si="1">IF(L8&lt;$L$5,L8+1,"")</f>
        <v>46237</v>
      </c>
      <c r="N8" s="9">
        <f t="shared" si="1"/>
        <v>46238</v>
      </c>
      <c r="O8" s="9">
        <f t="shared" si="1"/>
        <v>46239</v>
      </c>
      <c r="P8" s="9">
        <f t="shared" si="1"/>
        <v>46240</v>
      </c>
      <c r="Q8" s="9">
        <f t="shared" si="1"/>
        <v>46241</v>
      </c>
      <c r="R8" s="9">
        <f t="shared" si="1"/>
        <v>46242</v>
      </c>
      <c r="S8" s="9">
        <f t="shared" si="1"/>
        <v>46243</v>
      </c>
      <c r="T8" s="9">
        <f t="shared" si="1"/>
        <v>46244</v>
      </c>
      <c r="U8" s="9">
        <f t="shared" si="1"/>
        <v>46245</v>
      </c>
      <c r="V8" s="9">
        <f t="shared" si="1"/>
        <v>46246</v>
      </c>
      <c r="W8" s="9">
        <f t="shared" si="1"/>
        <v>46247</v>
      </c>
      <c r="X8" s="9">
        <f t="shared" si="1"/>
        <v>46248</v>
      </c>
      <c r="Y8" s="9">
        <f t="shared" si="1"/>
        <v>46249</v>
      </c>
      <c r="Z8" s="9">
        <f t="shared" si="1"/>
        <v>46250</v>
      </c>
      <c r="AA8" s="9">
        <f t="shared" si="1"/>
        <v>46251</v>
      </c>
      <c r="AB8" s="9">
        <f t="shared" si="1"/>
        <v>46252</v>
      </c>
      <c r="AC8" s="9">
        <f t="shared" si="1"/>
        <v>46253</v>
      </c>
      <c r="AD8" s="9">
        <f t="shared" si="1"/>
        <v>46254</v>
      </c>
      <c r="AE8" s="9">
        <f t="shared" si="1"/>
        <v>46255</v>
      </c>
      <c r="AF8" s="9">
        <f t="shared" si="1"/>
        <v>46256</v>
      </c>
      <c r="AG8" s="9">
        <f t="shared" si="1"/>
        <v>46257</v>
      </c>
      <c r="AH8" s="9">
        <f t="shared" si="1"/>
        <v>46258</v>
      </c>
      <c r="AI8" s="9">
        <f t="shared" si="1"/>
        <v>46259</v>
      </c>
      <c r="AJ8" s="9">
        <f t="shared" si="1"/>
        <v>46260</v>
      </c>
      <c r="AK8" s="9">
        <f t="shared" si="1"/>
        <v>46261</v>
      </c>
      <c r="AL8" s="9">
        <f t="shared" si="1"/>
        <v>46262</v>
      </c>
      <c r="AM8" s="9">
        <f t="shared" si="1"/>
        <v>46263</v>
      </c>
      <c r="AN8" s="9">
        <f t="shared" ref="AN8:AO8" si="2">IF(AM8&lt;=$L$5,AM8+1,"")</f>
        <v>46264</v>
      </c>
      <c r="AO8" s="10">
        <f t="shared" si="2"/>
        <v>46265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5</v>
      </c>
      <c r="K9" s="15"/>
      <c r="L9" s="15" t="str">
        <f t="shared" ref="L9:AN17" si="3">IF(L$7="Sun","WO","")</f>
        <v>WO</v>
      </c>
      <c r="M9" s="15"/>
      <c r="N9" s="15"/>
      <c r="O9" s="15"/>
      <c r="P9" s="15"/>
      <c r="Q9" s="15"/>
      <c r="R9" s="15"/>
      <c r="S9" s="15" t="str">
        <f t="shared" si="3"/>
        <v>WO</v>
      </c>
      <c r="T9" s="15"/>
      <c r="U9" s="15"/>
      <c r="V9" s="15"/>
      <c r="W9" s="15"/>
      <c r="X9" s="15"/>
      <c r="Y9" s="15"/>
      <c r="Z9" s="15" t="str">
        <f t="shared" si="3"/>
        <v>WO</v>
      </c>
      <c r="AA9" s="15"/>
      <c r="AB9" s="15"/>
      <c r="AC9" s="15"/>
      <c r="AD9" s="15"/>
      <c r="AE9" s="15"/>
      <c r="AF9" s="15"/>
      <c r="AG9" s="15" t="str">
        <f t="shared" si="3"/>
        <v>WO</v>
      </c>
      <c r="AH9" s="15"/>
      <c r="AI9" s="15"/>
      <c r="AJ9" s="15"/>
      <c r="AK9" s="15"/>
      <c r="AL9" s="15"/>
      <c r="AM9" s="15"/>
      <c r="AN9" s="15" t="str">
        <f t="shared" si="3"/>
        <v>WO</v>
      </c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August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5</v>
      </c>
      <c r="AZ9" s="30">
        <f t="shared" ref="AZ9:AZ38" si="9">$I$5</f>
        <v>31</v>
      </c>
      <c r="BA9" s="30">
        <f>aug_repo[[#This Row],[Days]]-aug_repo[[#This Row],[Absent]]</f>
        <v>31</v>
      </c>
      <c r="BB9" s="31">
        <v>11000</v>
      </c>
      <c r="BC9" s="32">
        <f>aug_repo[[#This Row],[Salary]]/aug_repo[[#This Row],[Days]]</f>
        <v>354.83870967741933</v>
      </c>
      <c r="BD9" s="30">
        <f>aug_repo[[#This Row],[Per Day Salary]]*aug_repo[[#This Row],[Absent]]</f>
        <v>0</v>
      </c>
      <c r="BE9" s="30">
        <f>aug_repo[[#This Row],[Salary]]-aug_repo[[#This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5</v>
      </c>
      <c r="K10" s="15"/>
      <c r="L10" s="15" t="str">
        <f t="shared" si="3"/>
        <v>WO</v>
      </c>
      <c r="M10" s="15"/>
      <c r="N10" s="15"/>
      <c r="O10" s="15"/>
      <c r="P10" s="15"/>
      <c r="Q10" s="15"/>
      <c r="R10" s="15"/>
      <c r="S10" s="15" t="str">
        <f t="shared" si="3"/>
        <v>WO</v>
      </c>
      <c r="T10" s="15"/>
      <c r="U10" s="15"/>
      <c r="V10" s="15"/>
      <c r="W10" s="15"/>
      <c r="X10" s="15"/>
      <c r="Y10" s="15"/>
      <c r="Z10" s="15" t="str">
        <f t="shared" si="3"/>
        <v>WO</v>
      </c>
      <c r="AA10" s="15"/>
      <c r="AB10" s="15"/>
      <c r="AC10" s="15"/>
      <c r="AD10" s="15"/>
      <c r="AE10" s="15"/>
      <c r="AF10" s="15"/>
      <c r="AG10" s="15" t="str">
        <f t="shared" si="3"/>
        <v>WO</v>
      </c>
      <c r="AH10" s="15"/>
      <c r="AI10" s="15"/>
      <c r="AJ10" s="15"/>
      <c r="AK10" s="15"/>
      <c r="AL10" s="15"/>
      <c r="AM10" s="15"/>
      <c r="AN10" s="15" t="str">
        <f t="shared" si="3"/>
        <v>WO</v>
      </c>
      <c r="AO10" s="16"/>
      <c r="AP10" s="40"/>
      <c r="AQ10" s="38"/>
      <c r="AR10" s="34">
        <v>2</v>
      </c>
      <c r="AS10" s="35" t="s">
        <v>33</v>
      </c>
      <c r="AT10" s="28" t="str">
        <f t="shared" si="4"/>
        <v>August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5</v>
      </c>
      <c r="AZ10" s="30">
        <f t="shared" si="9"/>
        <v>31</v>
      </c>
      <c r="BA10" s="30">
        <f>aug_repo[[#This Row],[Days]]-aug_repo[[#This Row],[Absent]]</f>
        <v>31</v>
      </c>
      <c r="BB10" s="31">
        <v>11000</v>
      </c>
      <c r="BC10" s="32">
        <f>aug_repo[[#This Row],[Salary]]/aug_repo[[#This Row],[Days]]</f>
        <v>354.83870967741933</v>
      </c>
      <c r="BD10" s="30">
        <f>aug_repo[[#This Row],[Per Day Salary]]*aug_repo[[#This Row],[Absent]]</f>
        <v>0</v>
      </c>
      <c r="BE10" s="30">
        <f>aug_repo[[#This Row],[Salary]]-aug_repo[[#This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5</v>
      </c>
      <c r="K11" s="15"/>
      <c r="L11" s="15" t="str">
        <f t="shared" si="3"/>
        <v>WO</v>
      </c>
      <c r="M11" s="15"/>
      <c r="N11" s="15"/>
      <c r="O11" s="15"/>
      <c r="P11" s="15"/>
      <c r="Q11" s="15"/>
      <c r="R11" s="15"/>
      <c r="S11" s="15" t="str">
        <f t="shared" si="3"/>
        <v>WO</v>
      </c>
      <c r="T11" s="15"/>
      <c r="U11" s="15"/>
      <c r="V11" s="15"/>
      <c r="W11" s="15"/>
      <c r="X11" s="15"/>
      <c r="Y11" s="15"/>
      <c r="Z11" s="15" t="str">
        <f t="shared" si="3"/>
        <v>WO</v>
      </c>
      <c r="AA11" s="15"/>
      <c r="AB11" s="15"/>
      <c r="AC11" s="15"/>
      <c r="AD11" s="15"/>
      <c r="AE11" s="15"/>
      <c r="AF11" s="15"/>
      <c r="AG11" s="15" t="str">
        <f t="shared" si="3"/>
        <v>WO</v>
      </c>
      <c r="AH11" s="15"/>
      <c r="AI11" s="15"/>
      <c r="AJ11" s="15"/>
      <c r="AK11" s="15"/>
      <c r="AL11" s="15"/>
      <c r="AM11" s="15"/>
      <c r="AN11" s="15" t="str">
        <f t="shared" si="3"/>
        <v>WO</v>
      </c>
      <c r="AO11" s="16"/>
      <c r="AP11" s="40"/>
      <c r="AQ11" s="38"/>
      <c r="AR11" s="34">
        <v>3</v>
      </c>
      <c r="AS11" s="35" t="s">
        <v>34</v>
      </c>
      <c r="AT11" s="28" t="str">
        <f t="shared" si="4"/>
        <v>August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5</v>
      </c>
      <c r="AZ11" s="30">
        <f t="shared" si="9"/>
        <v>31</v>
      </c>
      <c r="BA11" s="30">
        <f>aug_repo[[#This Row],[Days]]-aug_repo[[#This Row],[Absent]]</f>
        <v>31</v>
      </c>
      <c r="BB11" s="31">
        <v>11000</v>
      </c>
      <c r="BC11" s="32">
        <f>aug_repo[[#This Row],[Salary]]/aug_repo[[#This Row],[Days]]</f>
        <v>354.83870967741933</v>
      </c>
      <c r="BD11" s="30">
        <f>aug_repo[[#This Row],[Per Day Salary]]*aug_repo[[#This Row],[Absent]]</f>
        <v>0</v>
      </c>
      <c r="BE11" s="30">
        <f>aug_repo[[#This Row],[Salary]]-aug_repo[[#This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5</v>
      </c>
      <c r="K12" s="15"/>
      <c r="L12" s="15" t="str">
        <f t="shared" si="3"/>
        <v>WO</v>
      </c>
      <c r="M12" s="15"/>
      <c r="N12" s="15"/>
      <c r="O12" s="15"/>
      <c r="P12" s="15"/>
      <c r="Q12" s="15"/>
      <c r="R12" s="15"/>
      <c r="S12" s="15" t="str">
        <f t="shared" si="3"/>
        <v>WO</v>
      </c>
      <c r="T12" s="15"/>
      <c r="U12" s="15"/>
      <c r="V12" s="15"/>
      <c r="W12" s="15"/>
      <c r="X12" s="15"/>
      <c r="Y12" s="15"/>
      <c r="Z12" s="15" t="str">
        <f t="shared" si="3"/>
        <v>WO</v>
      </c>
      <c r="AA12" s="15"/>
      <c r="AB12" s="15"/>
      <c r="AC12" s="15"/>
      <c r="AD12" s="15"/>
      <c r="AE12" s="15"/>
      <c r="AF12" s="15"/>
      <c r="AG12" s="15" t="str">
        <f t="shared" si="3"/>
        <v>WO</v>
      </c>
      <c r="AH12" s="15"/>
      <c r="AI12" s="15"/>
      <c r="AJ12" s="15"/>
      <c r="AK12" s="15"/>
      <c r="AL12" s="15"/>
      <c r="AM12" s="15"/>
      <c r="AN12" s="15" t="str">
        <f t="shared" si="3"/>
        <v>WO</v>
      </c>
      <c r="AO12" s="16"/>
      <c r="AP12" s="40"/>
      <c r="AQ12" s="38"/>
      <c r="AR12" s="34">
        <v>4</v>
      </c>
      <c r="AS12" s="35" t="s">
        <v>35</v>
      </c>
      <c r="AT12" s="28" t="str">
        <f t="shared" si="4"/>
        <v>August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5</v>
      </c>
      <c r="AZ12" s="30">
        <f t="shared" si="9"/>
        <v>31</v>
      </c>
      <c r="BA12" s="30">
        <f>aug_repo[[#This Row],[Days]]-aug_repo[[#This Row],[Absent]]</f>
        <v>31</v>
      </c>
      <c r="BB12" s="31">
        <v>11000</v>
      </c>
      <c r="BC12" s="32">
        <f>aug_repo[[#This Row],[Salary]]/aug_repo[[#This Row],[Days]]</f>
        <v>354.83870967741933</v>
      </c>
      <c r="BD12" s="30">
        <f>aug_repo[[#This Row],[Per Day Salary]]*aug_repo[[#This Row],[Absent]]</f>
        <v>0</v>
      </c>
      <c r="BE12" s="30">
        <f>aug_repo[[#This Row],[Salary]]-aug_repo[[#This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5</v>
      </c>
      <c r="K13" s="15"/>
      <c r="L13" s="15" t="str">
        <f t="shared" si="3"/>
        <v>WO</v>
      </c>
      <c r="M13" s="15"/>
      <c r="N13" s="15"/>
      <c r="O13" s="15"/>
      <c r="P13" s="15"/>
      <c r="Q13" s="15"/>
      <c r="R13" s="15"/>
      <c r="S13" s="15" t="str">
        <f t="shared" si="3"/>
        <v>WO</v>
      </c>
      <c r="T13" s="15"/>
      <c r="U13" s="15"/>
      <c r="V13" s="15"/>
      <c r="W13" s="15"/>
      <c r="X13" s="15"/>
      <c r="Y13" s="15"/>
      <c r="Z13" s="15" t="str">
        <f t="shared" si="3"/>
        <v>WO</v>
      </c>
      <c r="AA13" s="15"/>
      <c r="AB13" s="15"/>
      <c r="AC13" s="15"/>
      <c r="AD13" s="15"/>
      <c r="AE13" s="15"/>
      <c r="AF13" s="15"/>
      <c r="AG13" s="15" t="str">
        <f t="shared" si="3"/>
        <v>WO</v>
      </c>
      <c r="AH13" s="15"/>
      <c r="AI13" s="15"/>
      <c r="AJ13" s="15"/>
      <c r="AK13" s="15"/>
      <c r="AL13" s="15"/>
      <c r="AM13" s="15"/>
      <c r="AN13" s="15" t="str">
        <f t="shared" si="3"/>
        <v>WO</v>
      </c>
      <c r="AO13" s="16"/>
      <c r="AP13" s="40"/>
      <c r="AQ13" s="38"/>
      <c r="AR13" s="34">
        <v>5</v>
      </c>
      <c r="AS13" s="35" t="s">
        <v>36</v>
      </c>
      <c r="AT13" s="28" t="str">
        <f t="shared" si="4"/>
        <v>August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5</v>
      </c>
      <c r="AZ13" s="30">
        <f t="shared" si="9"/>
        <v>31</v>
      </c>
      <c r="BA13" s="30">
        <f>aug_repo[[#This Row],[Days]]-aug_repo[[#This Row],[Absent]]</f>
        <v>31</v>
      </c>
      <c r="BB13" s="31">
        <v>0</v>
      </c>
      <c r="BC13" s="32">
        <f>aug_repo[[#This Row],[Salary]]/aug_repo[[#This Row],[Days]]</f>
        <v>0</v>
      </c>
      <c r="BD13" s="30">
        <f>aug_repo[[#This Row],[Per Day Salary]]*aug_repo[[#This Row],[Absent]]</f>
        <v>0</v>
      </c>
      <c r="BE13" s="30">
        <f>aug_repo[[#This Row],[Salary]]-aug_repo[[#This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5</v>
      </c>
      <c r="K14" s="15"/>
      <c r="L14" s="15" t="str">
        <f t="shared" si="3"/>
        <v>WO</v>
      </c>
      <c r="M14" s="15"/>
      <c r="N14" s="15"/>
      <c r="O14" s="15"/>
      <c r="P14" s="15"/>
      <c r="Q14" s="15"/>
      <c r="R14" s="15"/>
      <c r="S14" s="15" t="str">
        <f t="shared" si="3"/>
        <v>WO</v>
      </c>
      <c r="T14" s="15"/>
      <c r="U14" s="15"/>
      <c r="V14" s="15"/>
      <c r="W14" s="15"/>
      <c r="X14" s="15"/>
      <c r="Y14" s="15"/>
      <c r="Z14" s="15" t="str">
        <f t="shared" si="3"/>
        <v>WO</v>
      </c>
      <c r="AA14" s="15"/>
      <c r="AB14" s="15"/>
      <c r="AC14" s="15"/>
      <c r="AD14" s="15"/>
      <c r="AE14" s="15"/>
      <c r="AF14" s="15"/>
      <c r="AG14" s="15" t="str">
        <f t="shared" si="3"/>
        <v>WO</v>
      </c>
      <c r="AH14" s="15"/>
      <c r="AI14" s="15"/>
      <c r="AJ14" s="15"/>
      <c r="AK14" s="15"/>
      <c r="AL14" s="15"/>
      <c r="AM14" s="15"/>
      <c r="AN14" s="15" t="str">
        <f t="shared" si="3"/>
        <v>WO</v>
      </c>
      <c r="AO14" s="16"/>
      <c r="AP14" s="40"/>
      <c r="AQ14" s="38"/>
      <c r="AR14" s="34">
        <v>6</v>
      </c>
      <c r="AS14" s="35" t="s">
        <v>37</v>
      </c>
      <c r="AT14" s="28" t="str">
        <f t="shared" si="4"/>
        <v>August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5</v>
      </c>
      <c r="AZ14" s="30">
        <f t="shared" si="9"/>
        <v>31</v>
      </c>
      <c r="BA14" s="30">
        <f>aug_repo[[#This Row],[Days]]-aug_repo[[#This Row],[Absent]]</f>
        <v>31</v>
      </c>
      <c r="BB14" s="31">
        <v>0</v>
      </c>
      <c r="BC14" s="32">
        <f>aug_repo[[#This Row],[Salary]]/aug_repo[[#This Row],[Days]]</f>
        <v>0</v>
      </c>
      <c r="BD14" s="30">
        <f>aug_repo[[#This Row],[Per Day Salary]]*aug_repo[[#This Row],[Absent]]</f>
        <v>0</v>
      </c>
      <c r="BE14" s="30">
        <f>aug_repo[[#This Row],[Salary]]-aug_repo[[#This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5</v>
      </c>
      <c r="K15" s="15"/>
      <c r="L15" s="15" t="str">
        <f t="shared" si="3"/>
        <v>WO</v>
      </c>
      <c r="M15" s="15"/>
      <c r="N15" s="15"/>
      <c r="O15" s="15"/>
      <c r="P15" s="15"/>
      <c r="Q15" s="15"/>
      <c r="R15" s="15"/>
      <c r="S15" s="15" t="str">
        <f t="shared" si="3"/>
        <v>WO</v>
      </c>
      <c r="T15" s="15"/>
      <c r="U15" s="15"/>
      <c r="V15" s="15"/>
      <c r="W15" s="15"/>
      <c r="X15" s="15"/>
      <c r="Y15" s="15"/>
      <c r="Z15" s="15" t="str">
        <f t="shared" si="3"/>
        <v>WO</v>
      </c>
      <c r="AA15" s="15"/>
      <c r="AB15" s="15"/>
      <c r="AC15" s="15"/>
      <c r="AD15" s="15"/>
      <c r="AE15" s="15"/>
      <c r="AF15" s="15"/>
      <c r="AG15" s="15" t="str">
        <f t="shared" si="3"/>
        <v>WO</v>
      </c>
      <c r="AH15" s="15"/>
      <c r="AI15" s="15"/>
      <c r="AJ15" s="15"/>
      <c r="AK15" s="15"/>
      <c r="AL15" s="15"/>
      <c r="AM15" s="15"/>
      <c r="AN15" s="15" t="str">
        <f t="shared" si="3"/>
        <v>WO</v>
      </c>
      <c r="AO15" s="16"/>
      <c r="AP15" s="40"/>
      <c r="AQ15" s="38"/>
      <c r="AR15" s="34">
        <v>7</v>
      </c>
      <c r="AS15" s="35" t="s">
        <v>38</v>
      </c>
      <c r="AT15" s="28" t="str">
        <f t="shared" si="4"/>
        <v>August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5</v>
      </c>
      <c r="AZ15" s="30">
        <f t="shared" si="9"/>
        <v>31</v>
      </c>
      <c r="BA15" s="30">
        <f>aug_repo[[#This Row],[Days]]-aug_repo[[#This Row],[Absent]]</f>
        <v>31</v>
      </c>
      <c r="BB15" s="31">
        <v>0</v>
      </c>
      <c r="BC15" s="32">
        <f>aug_repo[[#This Row],[Salary]]/aug_repo[[#This Row],[Days]]</f>
        <v>0</v>
      </c>
      <c r="BD15" s="30">
        <f>aug_repo[[#This Row],[Per Day Salary]]*aug_repo[[#This Row],[Absent]]</f>
        <v>0</v>
      </c>
      <c r="BE15" s="30">
        <f>aug_repo[[#This Row],[Salary]]-aug_repo[[#This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5</v>
      </c>
      <c r="K16" s="15"/>
      <c r="L16" s="15" t="str">
        <f t="shared" si="3"/>
        <v>WO</v>
      </c>
      <c r="M16" s="15"/>
      <c r="N16" s="15"/>
      <c r="O16" s="15"/>
      <c r="P16" s="15"/>
      <c r="Q16" s="15"/>
      <c r="R16" s="15"/>
      <c r="S16" s="15" t="str">
        <f t="shared" si="3"/>
        <v>WO</v>
      </c>
      <c r="T16" s="15"/>
      <c r="U16" s="15"/>
      <c r="V16" s="15"/>
      <c r="W16" s="15"/>
      <c r="X16" s="15"/>
      <c r="Y16" s="15"/>
      <c r="Z16" s="15" t="str">
        <f t="shared" si="3"/>
        <v>WO</v>
      </c>
      <c r="AA16" s="15"/>
      <c r="AB16" s="15"/>
      <c r="AC16" s="15"/>
      <c r="AD16" s="15"/>
      <c r="AE16" s="15"/>
      <c r="AF16" s="15"/>
      <c r="AG16" s="15" t="str">
        <f t="shared" si="3"/>
        <v>WO</v>
      </c>
      <c r="AH16" s="15"/>
      <c r="AI16" s="15"/>
      <c r="AJ16" s="15"/>
      <c r="AK16" s="15"/>
      <c r="AL16" s="15"/>
      <c r="AM16" s="15"/>
      <c r="AN16" s="15" t="str">
        <f t="shared" si="3"/>
        <v>WO</v>
      </c>
      <c r="AO16" s="16"/>
      <c r="AP16" s="40"/>
      <c r="AQ16" s="38"/>
      <c r="AR16" s="34">
        <v>8</v>
      </c>
      <c r="AS16" s="35" t="s">
        <v>39</v>
      </c>
      <c r="AT16" s="28" t="str">
        <f t="shared" si="4"/>
        <v>August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5</v>
      </c>
      <c r="AZ16" s="30">
        <f t="shared" si="9"/>
        <v>31</v>
      </c>
      <c r="BA16" s="30">
        <f>aug_repo[[#This Row],[Days]]-aug_repo[[#This Row],[Absent]]</f>
        <v>31</v>
      </c>
      <c r="BB16" s="31">
        <v>0</v>
      </c>
      <c r="BC16" s="32">
        <f>aug_repo[[#This Row],[Salary]]/aug_repo[[#This Row],[Days]]</f>
        <v>0</v>
      </c>
      <c r="BD16" s="30">
        <f>aug_repo[[#This Row],[Per Day Salary]]*aug_repo[[#This Row],[Absent]]</f>
        <v>0</v>
      </c>
      <c r="BE16" s="30">
        <f>aug_repo[[#This Row],[Salary]]-aug_repo[[#This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5</v>
      </c>
      <c r="K17" s="15"/>
      <c r="L17" s="15" t="str">
        <f t="shared" si="3"/>
        <v>WO</v>
      </c>
      <c r="M17" s="15"/>
      <c r="N17" s="15"/>
      <c r="O17" s="15"/>
      <c r="P17" s="15"/>
      <c r="Q17" s="15"/>
      <c r="R17" s="15"/>
      <c r="S17" s="15" t="str">
        <f t="shared" si="3"/>
        <v>WO</v>
      </c>
      <c r="T17" s="15"/>
      <c r="U17" s="15"/>
      <c r="V17" s="15"/>
      <c r="W17" s="15"/>
      <c r="X17" s="15"/>
      <c r="Y17" s="15"/>
      <c r="Z17" s="15" t="str">
        <f t="shared" si="3"/>
        <v>WO</v>
      </c>
      <c r="AA17" s="15"/>
      <c r="AB17" s="15"/>
      <c r="AC17" s="15"/>
      <c r="AD17" s="15"/>
      <c r="AE17" s="15"/>
      <c r="AF17" s="15"/>
      <c r="AG17" s="15" t="str">
        <f t="shared" ref="AG17:AN34" si="11">IF(AG$7="Sun","WO","")</f>
        <v>WO</v>
      </c>
      <c r="AH17" s="15"/>
      <c r="AI17" s="15"/>
      <c r="AJ17" s="15"/>
      <c r="AK17" s="15"/>
      <c r="AL17" s="15"/>
      <c r="AM17" s="15"/>
      <c r="AN17" s="15" t="str">
        <f t="shared" si="11"/>
        <v>WO</v>
      </c>
      <c r="AO17" s="16"/>
      <c r="AP17" s="40"/>
      <c r="AQ17" s="38"/>
      <c r="AR17" s="34">
        <v>9</v>
      </c>
      <c r="AS17" s="35" t="s">
        <v>40</v>
      </c>
      <c r="AT17" s="28" t="str">
        <f t="shared" si="4"/>
        <v>August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5</v>
      </c>
      <c r="AZ17" s="30">
        <f t="shared" si="9"/>
        <v>31</v>
      </c>
      <c r="BA17" s="30">
        <f>aug_repo[[#This Row],[Days]]-aug_repo[[#This Row],[Absent]]</f>
        <v>31</v>
      </c>
      <c r="BB17" s="31">
        <v>0</v>
      </c>
      <c r="BC17" s="32">
        <f>aug_repo[[#This Row],[Salary]]/aug_repo[[#This Row],[Days]]</f>
        <v>0</v>
      </c>
      <c r="BD17" s="30">
        <f>aug_repo[[#This Row],[Per Day Salary]]*aug_repo[[#This Row],[Absent]]</f>
        <v>0</v>
      </c>
      <c r="BE17" s="30">
        <f>aug_repo[[#This Row],[Salary]]-aug_repo[[#This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5</v>
      </c>
      <c r="K18" s="15"/>
      <c r="L18" s="15" t="str">
        <f t="shared" ref="L18:Z33" si="12">IF(L$7="Sun","WO","")</f>
        <v>WO</v>
      </c>
      <c r="M18" s="15"/>
      <c r="N18" s="15"/>
      <c r="O18" s="15"/>
      <c r="P18" s="15"/>
      <c r="Q18" s="15"/>
      <c r="R18" s="15"/>
      <c r="S18" s="15" t="str">
        <f t="shared" si="12"/>
        <v>WO</v>
      </c>
      <c r="T18" s="15"/>
      <c r="U18" s="15"/>
      <c r="V18" s="15"/>
      <c r="W18" s="15"/>
      <c r="X18" s="15"/>
      <c r="Y18" s="15"/>
      <c r="Z18" s="15" t="str">
        <f t="shared" si="12"/>
        <v>WO</v>
      </c>
      <c r="AA18" s="15"/>
      <c r="AB18" s="15"/>
      <c r="AC18" s="15"/>
      <c r="AD18" s="15"/>
      <c r="AE18" s="15"/>
      <c r="AF18" s="15"/>
      <c r="AG18" s="15" t="str">
        <f t="shared" si="11"/>
        <v>WO</v>
      </c>
      <c r="AH18" s="15"/>
      <c r="AI18" s="15"/>
      <c r="AJ18" s="15"/>
      <c r="AK18" s="15"/>
      <c r="AL18" s="15"/>
      <c r="AM18" s="15"/>
      <c r="AN18" s="15" t="str">
        <f t="shared" si="11"/>
        <v>WO</v>
      </c>
      <c r="AO18" s="16"/>
      <c r="AP18" s="40"/>
      <c r="AQ18" s="38"/>
      <c r="AR18" s="34">
        <v>10</v>
      </c>
      <c r="AS18" s="35" t="s">
        <v>41</v>
      </c>
      <c r="AT18" s="28" t="str">
        <f t="shared" si="4"/>
        <v>August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5</v>
      </c>
      <c r="AZ18" s="30">
        <f t="shared" si="9"/>
        <v>31</v>
      </c>
      <c r="BA18" s="30">
        <f>aug_repo[[#This Row],[Days]]-aug_repo[[#This Row],[Absent]]</f>
        <v>31</v>
      </c>
      <c r="BB18" s="31">
        <v>0</v>
      </c>
      <c r="BC18" s="32">
        <f>aug_repo[[#This Row],[Salary]]/aug_repo[[#This Row],[Days]]</f>
        <v>0</v>
      </c>
      <c r="BD18" s="30">
        <f>aug_repo[[#This Row],[Per Day Salary]]*aug_repo[[#This Row],[Absent]]</f>
        <v>0</v>
      </c>
      <c r="BE18" s="30">
        <f>aug_repo[[#This Row],[Salary]]-aug_repo[[#This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5</v>
      </c>
      <c r="K19" s="15"/>
      <c r="L19" s="15" t="str">
        <f t="shared" si="12"/>
        <v>WO</v>
      </c>
      <c r="M19" s="15"/>
      <c r="N19" s="15"/>
      <c r="O19" s="15"/>
      <c r="P19" s="15"/>
      <c r="Q19" s="15"/>
      <c r="R19" s="15"/>
      <c r="S19" s="15" t="str">
        <f t="shared" si="12"/>
        <v>WO</v>
      </c>
      <c r="T19" s="15"/>
      <c r="U19" s="15"/>
      <c r="V19" s="15"/>
      <c r="W19" s="15"/>
      <c r="X19" s="15"/>
      <c r="Y19" s="15"/>
      <c r="Z19" s="15" t="str">
        <f t="shared" si="12"/>
        <v>WO</v>
      </c>
      <c r="AA19" s="15"/>
      <c r="AB19" s="15"/>
      <c r="AC19" s="15"/>
      <c r="AD19" s="15"/>
      <c r="AE19" s="15"/>
      <c r="AF19" s="15"/>
      <c r="AG19" s="15" t="str">
        <f t="shared" si="11"/>
        <v>WO</v>
      </c>
      <c r="AH19" s="15"/>
      <c r="AI19" s="15"/>
      <c r="AJ19" s="15"/>
      <c r="AK19" s="15"/>
      <c r="AL19" s="15"/>
      <c r="AM19" s="15"/>
      <c r="AN19" s="15" t="str">
        <f t="shared" si="11"/>
        <v>WO</v>
      </c>
      <c r="AO19" s="16"/>
      <c r="AP19" s="40"/>
      <c r="AQ19" s="38"/>
      <c r="AR19" s="34">
        <v>11</v>
      </c>
      <c r="AS19" s="35" t="s">
        <v>42</v>
      </c>
      <c r="AT19" s="28" t="str">
        <f t="shared" si="4"/>
        <v>August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5</v>
      </c>
      <c r="AZ19" s="30">
        <f t="shared" si="9"/>
        <v>31</v>
      </c>
      <c r="BA19" s="30">
        <f>aug_repo[[#This Row],[Days]]-aug_repo[[#This Row],[Absent]]</f>
        <v>31</v>
      </c>
      <c r="BB19" s="31">
        <v>0</v>
      </c>
      <c r="BC19" s="32">
        <f>aug_repo[[#This Row],[Salary]]/aug_repo[[#This Row],[Days]]</f>
        <v>0</v>
      </c>
      <c r="BD19" s="30">
        <f>aug_repo[[#This Row],[Per Day Salary]]*aug_repo[[#This Row],[Absent]]</f>
        <v>0</v>
      </c>
      <c r="BE19" s="30">
        <f>aug_repo[[#This Row],[Salary]]-aug_repo[[#This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5</v>
      </c>
      <c r="K20" s="15"/>
      <c r="L20" s="15" t="str">
        <f t="shared" si="12"/>
        <v>WO</v>
      </c>
      <c r="M20" s="15"/>
      <c r="N20" s="15"/>
      <c r="O20" s="15"/>
      <c r="P20" s="15"/>
      <c r="Q20" s="15"/>
      <c r="R20" s="15"/>
      <c r="S20" s="15" t="str">
        <f t="shared" si="12"/>
        <v>WO</v>
      </c>
      <c r="T20" s="15"/>
      <c r="U20" s="15"/>
      <c r="V20" s="15"/>
      <c r="W20" s="15"/>
      <c r="X20" s="15"/>
      <c r="Y20" s="15"/>
      <c r="Z20" s="15" t="str">
        <f t="shared" si="12"/>
        <v>WO</v>
      </c>
      <c r="AA20" s="15"/>
      <c r="AB20" s="15"/>
      <c r="AC20" s="15"/>
      <c r="AD20" s="15"/>
      <c r="AE20" s="15"/>
      <c r="AF20" s="15"/>
      <c r="AG20" s="15" t="str">
        <f t="shared" si="11"/>
        <v>WO</v>
      </c>
      <c r="AH20" s="15"/>
      <c r="AI20" s="15"/>
      <c r="AJ20" s="15"/>
      <c r="AK20" s="15"/>
      <c r="AL20" s="15"/>
      <c r="AM20" s="15"/>
      <c r="AN20" s="15" t="str">
        <f t="shared" si="11"/>
        <v>WO</v>
      </c>
      <c r="AO20" s="16"/>
      <c r="AP20" s="40"/>
      <c r="AQ20" s="38"/>
      <c r="AR20" s="34">
        <v>12</v>
      </c>
      <c r="AS20" s="35" t="s">
        <v>43</v>
      </c>
      <c r="AT20" s="28" t="str">
        <f t="shared" si="4"/>
        <v>August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5</v>
      </c>
      <c r="AZ20" s="30">
        <f t="shared" si="9"/>
        <v>31</v>
      </c>
      <c r="BA20" s="30">
        <f>aug_repo[[#This Row],[Days]]-aug_repo[[#This Row],[Absent]]</f>
        <v>31</v>
      </c>
      <c r="BB20" s="31">
        <v>0</v>
      </c>
      <c r="BC20" s="32">
        <f>aug_repo[[#This Row],[Salary]]/aug_repo[[#This Row],[Days]]</f>
        <v>0</v>
      </c>
      <c r="BD20" s="30">
        <f>aug_repo[[#This Row],[Per Day Salary]]*aug_repo[[#This Row],[Absent]]</f>
        <v>0</v>
      </c>
      <c r="BE20" s="30">
        <f>aug_repo[[#This Row],[Salary]]-aug_repo[[#This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5</v>
      </c>
      <c r="K21" s="15"/>
      <c r="L21" s="15" t="str">
        <f t="shared" si="12"/>
        <v>WO</v>
      </c>
      <c r="M21" s="15"/>
      <c r="N21" s="15"/>
      <c r="O21" s="15"/>
      <c r="P21" s="15"/>
      <c r="Q21" s="15"/>
      <c r="R21" s="15"/>
      <c r="S21" s="15" t="str">
        <f t="shared" si="12"/>
        <v>WO</v>
      </c>
      <c r="T21" s="15"/>
      <c r="U21" s="15"/>
      <c r="V21" s="15"/>
      <c r="W21" s="15"/>
      <c r="X21" s="15"/>
      <c r="Y21" s="15"/>
      <c r="Z21" s="15" t="str">
        <f t="shared" si="12"/>
        <v>WO</v>
      </c>
      <c r="AA21" s="15"/>
      <c r="AB21" s="15"/>
      <c r="AC21" s="15"/>
      <c r="AD21" s="15"/>
      <c r="AE21" s="15"/>
      <c r="AF21" s="15"/>
      <c r="AG21" s="15" t="str">
        <f t="shared" si="11"/>
        <v>WO</v>
      </c>
      <c r="AH21" s="15"/>
      <c r="AI21" s="15"/>
      <c r="AJ21" s="15"/>
      <c r="AK21" s="15"/>
      <c r="AL21" s="15"/>
      <c r="AM21" s="15"/>
      <c r="AN21" s="15" t="str">
        <f t="shared" si="11"/>
        <v>WO</v>
      </c>
      <c r="AO21" s="16"/>
      <c r="AP21" s="40"/>
      <c r="AQ21" s="38"/>
      <c r="AR21" s="34">
        <v>13</v>
      </c>
      <c r="AS21" s="35" t="s">
        <v>44</v>
      </c>
      <c r="AT21" s="28" t="str">
        <f t="shared" si="4"/>
        <v>August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5</v>
      </c>
      <c r="AZ21" s="30">
        <f t="shared" si="9"/>
        <v>31</v>
      </c>
      <c r="BA21" s="30">
        <f>aug_repo[[#This Row],[Days]]-aug_repo[[#This Row],[Absent]]</f>
        <v>31</v>
      </c>
      <c r="BB21" s="31">
        <v>0</v>
      </c>
      <c r="BC21" s="32">
        <f>aug_repo[[#This Row],[Salary]]/aug_repo[[#This Row],[Days]]</f>
        <v>0</v>
      </c>
      <c r="BD21" s="30">
        <f>aug_repo[[#This Row],[Per Day Salary]]*aug_repo[[#This Row],[Absent]]</f>
        <v>0</v>
      </c>
      <c r="BE21" s="30">
        <f>aug_repo[[#This Row],[Salary]]-aug_repo[[#This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5</v>
      </c>
      <c r="K22" s="15"/>
      <c r="L22" s="15" t="str">
        <f t="shared" si="12"/>
        <v>WO</v>
      </c>
      <c r="M22" s="15"/>
      <c r="N22" s="15"/>
      <c r="O22" s="15"/>
      <c r="P22" s="15"/>
      <c r="Q22" s="15"/>
      <c r="R22" s="15"/>
      <c r="S22" s="15" t="str">
        <f t="shared" si="12"/>
        <v>WO</v>
      </c>
      <c r="T22" s="15"/>
      <c r="U22" s="15"/>
      <c r="V22" s="15"/>
      <c r="W22" s="15"/>
      <c r="X22" s="15"/>
      <c r="Y22" s="15"/>
      <c r="Z22" s="15" t="str">
        <f t="shared" si="12"/>
        <v>WO</v>
      </c>
      <c r="AA22" s="15"/>
      <c r="AB22" s="15"/>
      <c r="AC22" s="15"/>
      <c r="AD22" s="15"/>
      <c r="AE22" s="15"/>
      <c r="AF22" s="15"/>
      <c r="AG22" s="15" t="str">
        <f t="shared" si="11"/>
        <v>WO</v>
      </c>
      <c r="AH22" s="15"/>
      <c r="AI22" s="15"/>
      <c r="AJ22" s="15"/>
      <c r="AK22" s="15"/>
      <c r="AL22" s="15"/>
      <c r="AM22" s="15"/>
      <c r="AN22" s="15" t="str">
        <f t="shared" si="11"/>
        <v>WO</v>
      </c>
      <c r="AO22" s="16"/>
      <c r="AP22" s="40"/>
      <c r="AQ22" s="38"/>
      <c r="AR22" s="34">
        <v>14</v>
      </c>
      <c r="AS22" s="35" t="s">
        <v>45</v>
      </c>
      <c r="AT22" s="28" t="str">
        <f t="shared" si="4"/>
        <v>August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5</v>
      </c>
      <c r="AZ22" s="30">
        <f t="shared" si="9"/>
        <v>31</v>
      </c>
      <c r="BA22" s="30">
        <f>aug_repo[[#This Row],[Days]]-aug_repo[[#This Row],[Absent]]</f>
        <v>31</v>
      </c>
      <c r="BB22" s="31">
        <v>0</v>
      </c>
      <c r="BC22" s="32">
        <f>aug_repo[[#This Row],[Salary]]/aug_repo[[#This Row],[Days]]</f>
        <v>0</v>
      </c>
      <c r="BD22" s="30">
        <f>aug_repo[[#This Row],[Per Day Salary]]*aug_repo[[#This Row],[Absent]]</f>
        <v>0</v>
      </c>
      <c r="BE22" s="30">
        <f>aug_repo[[#This Row],[Salary]]-aug_repo[[#This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5</v>
      </c>
      <c r="K23" s="15"/>
      <c r="L23" s="15" t="str">
        <f t="shared" si="12"/>
        <v>WO</v>
      </c>
      <c r="M23" s="15"/>
      <c r="N23" s="15"/>
      <c r="O23" s="15"/>
      <c r="P23" s="15"/>
      <c r="Q23" s="15"/>
      <c r="R23" s="15"/>
      <c r="S23" s="15" t="str">
        <f t="shared" si="12"/>
        <v>WO</v>
      </c>
      <c r="T23" s="15"/>
      <c r="U23" s="15"/>
      <c r="V23" s="15"/>
      <c r="W23" s="15"/>
      <c r="X23" s="15"/>
      <c r="Y23" s="15"/>
      <c r="Z23" s="15" t="str">
        <f t="shared" si="12"/>
        <v>WO</v>
      </c>
      <c r="AA23" s="15"/>
      <c r="AB23" s="15"/>
      <c r="AC23" s="15"/>
      <c r="AD23" s="15"/>
      <c r="AE23" s="15"/>
      <c r="AF23" s="15"/>
      <c r="AG23" s="15" t="str">
        <f t="shared" si="11"/>
        <v>WO</v>
      </c>
      <c r="AH23" s="15"/>
      <c r="AI23" s="15"/>
      <c r="AJ23" s="15"/>
      <c r="AK23" s="15"/>
      <c r="AL23" s="15"/>
      <c r="AM23" s="15"/>
      <c r="AN23" s="15" t="str">
        <f t="shared" si="11"/>
        <v>WO</v>
      </c>
      <c r="AO23" s="16"/>
      <c r="AP23" s="40"/>
      <c r="AQ23" s="38"/>
      <c r="AR23" s="34">
        <v>15</v>
      </c>
      <c r="AS23" s="35" t="s">
        <v>46</v>
      </c>
      <c r="AT23" s="28" t="str">
        <f t="shared" si="4"/>
        <v>August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5</v>
      </c>
      <c r="AZ23" s="30">
        <f t="shared" si="9"/>
        <v>31</v>
      </c>
      <c r="BA23" s="30">
        <f>aug_repo[[#This Row],[Days]]-aug_repo[[#This Row],[Absent]]</f>
        <v>31</v>
      </c>
      <c r="BB23" s="31">
        <v>0</v>
      </c>
      <c r="BC23" s="32">
        <f>aug_repo[[#This Row],[Salary]]/aug_repo[[#This Row],[Days]]</f>
        <v>0</v>
      </c>
      <c r="BD23" s="30">
        <f>aug_repo[[#This Row],[Per Day Salary]]*aug_repo[[#This Row],[Absent]]</f>
        <v>0</v>
      </c>
      <c r="BE23" s="30">
        <f>aug_repo[[#This Row],[Salary]]-aug_repo[[#This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5</v>
      </c>
      <c r="K24" s="15"/>
      <c r="L24" s="15" t="str">
        <f t="shared" si="12"/>
        <v>WO</v>
      </c>
      <c r="M24" s="15"/>
      <c r="N24" s="15"/>
      <c r="O24" s="15"/>
      <c r="P24" s="15"/>
      <c r="Q24" s="15"/>
      <c r="R24" s="15"/>
      <c r="S24" s="15" t="str">
        <f t="shared" si="12"/>
        <v>WO</v>
      </c>
      <c r="T24" s="15"/>
      <c r="U24" s="15"/>
      <c r="V24" s="15"/>
      <c r="W24" s="15"/>
      <c r="X24" s="15"/>
      <c r="Y24" s="15"/>
      <c r="Z24" s="15" t="str">
        <f t="shared" si="12"/>
        <v>WO</v>
      </c>
      <c r="AA24" s="15"/>
      <c r="AB24" s="15"/>
      <c r="AC24" s="15"/>
      <c r="AD24" s="15"/>
      <c r="AE24" s="15"/>
      <c r="AF24" s="15"/>
      <c r="AG24" s="15" t="str">
        <f t="shared" si="11"/>
        <v>WO</v>
      </c>
      <c r="AH24" s="15"/>
      <c r="AI24" s="15"/>
      <c r="AJ24" s="15"/>
      <c r="AK24" s="15"/>
      <c r="AL24" s="15"/>
      <c r="AM24" s="15"/>
      <c r="AN24" s="15" t="str">
        <f t="shared" si="11"/>
        <v>WO</v>
      </c>
      <c r="AO24" s="16"/>
      <c r="AP24" s="40"/>
      <c r="AQ24" s="38"/>
      <c r="AR24" s="34">
        <v>16</v>
      </c>
      <c r="AS24" s="35" t="s">
        <v>47</v>
      </c>
      <c r="AT24" s="28" t="str">
        <f t="shared" si="4"/>
        <v>August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5</v>
      </c>
      <c r="AZ24" s="30">
        <f t="shared" si="9"/>
        <v>31</v>
      </c>
      <c r="BA24" s="30">
        <f>aug_repo[[#This Row],[Days]]-aug_repo[[#This Row],[Absent]]</f>
        <v>31</v>
      </c>
      <c r="BB24" s="31">
        <v>0</v>
      </c>
      <c r="BC24" s="32">
        <f>aug_repo[[#This Row],[Salary]]/aug_repo[[#This Row],[Days]]</f>
        <v>0</v>
      </c>
      <c r="BD24" s="30">
        <f>aug_repo[[#This Row],[Per Day Salary]]*aug_repo[[#This Row],[Absent]]</f>
        <v>0</v>
      </c>
      <c r="BE24" s="30">
        <f>aug_repo[[#This Row],[Salary]]-aug_repo[[#This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5</v>
      </c>
      <c r="K25" s="15"/>
      <c r="L25" s="15" t="str">
        <f t="shared" si="12"/>
        <v>WO</v>
      </c>
      <c r="M25" s="15"/>
      <c r="N25" s="15"/>
      <c r="O25" s="15"/>
      <c r="P25" s="15"/>
      <c r="Q25" s="15"/>
      <c r="R25" s="15"/>
      <c r="S25" s="15" t="str">
        <f t="shared" si="12"/>
        <v>WO</v>
      </c>
      <c r="T25" s="15"/>
      <c r="U25" s="15"/>
      <c r="V25" s="15"/>
      <c r="W25" s="15"/>
      <c r="X25" s="15"/>
      <c r="Y25" s="15"/>
      <c r="Z25" s="15" t="str">
        <f t="shared" si="12"/>
        <v>WO</v>
      </c>
      <c r="AA25" s="15"/>
      <c r="AB25" s="15"/>
      <c r="AC25" s="15"/>
      <c r="AD25" s="15"/>
      <c r="AE25" s="15"/>
      <c r="AF25" s="15"/>
      <c r="AG25" s="15" t="str">
        <f t="shared" si="11"/>
        <v>WO</v>
      </c>
      <c r="AH25" s="15"/>
      <c r="AI25" s="15"/>
      <c r="AJ25" s="15"/>
      <c r="AK25" s="15"/>
      <c r="AL25" s="15"/>
      <c r="AM25" s="15"/>
      <c r="AN25" s="15" t="str">
        <f t="shared" si="11"/>
        <v>WO</v>
      </c>
      <c r="AO25" s="16"/>
      <c r="AP25" s="40"/>
      <c r="AQ25" s="38"/>
      <c r="AR25" s="34">
        <v>17</v>
      </c>
      <c r="AS25" s="35" t="s">
        <v>48</v>
      </c>
      <c r="AT25" s="28" t="str">
        <f t="shared" si="4"/>
        <v>August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5</v>
      </c>
      <c r="AZ25" s="30">
        <f t="shared" si="9"/>
        <v>31</v>
      </c>
      <c r="BA25" s="30">
        <f>aug_repo[[#This Row],[Days]]-aug_repo[[#This Row],[Absent]]</f>
        <v>31</v>
      </c>
      <c r="BB25" s="31">
        <v>0</v>
      </c>
      <c r="BC25" s="32">
        <f>aug_repo[[#This Row],[Salary]]/aug_repo[[#This Row],[Days]]</f>
        <v>0</v>
      </c>
      <c r="BD25" s="30">
        <f>aug_repo[[#This Row],[Per Day Salary]]*aug_repo[[#This Row],[Absent]]</f>
        <v>0</v>
      </c>
      <c r="BE25" s="30">
        <f>aug_repo[[#This Row],[Salary]]-aug_repo[[#This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5</v>
      </c>
      <c r="K26" s="15"/>
      <c r="L26" s="15" t="str">
        <f t="shared" si="12"/>
        <v>WO</v>
      </c>
      <c r="M26" s="15"/>
      <c r="N26" s="15"/>
      <c r="O26" s="15"/>
      <c r="P26" s="15"/>
      <c r="Q26" s="15"/>
      <c r="R26" s="15"/>
      <c r="S26" s="15" t="str">
        <f t="shared" si="12"/>
        <v>WO</v>
      </c>
      <c r="T26" s="15"/>
      <c r="U26" s="15"/>
      <c r="V26" s="15"/>
      <c r="W26" s="15"/>
      <c r="X26" s="15"/>
      <c r="Y26" s="15"/>
      <c r="Z26" s="15" t="str">
        <f t="shared" si="12"/>
        <v>WO</v>
      </c>
      <c r="AA26" s="15"/>
      <c r="AB26" s="15"/>
      <c r="AC26" s="15"/>
      <c r="AD26" s="15"/>
      <c r="AE26" s="15"/>
      <c r="AF26" s="15"/>
      <c r="AG26" s="15" t="str">
        <f t="shared" si="11"/>
        <v>WO</v>
      </c>
      <c r="AH26" s="15"/>
      <c r="AI26" s="15"/>
      <c r="AJ26" s="15"/>
      <c r="AK26" s="15"/>
      <c r="AL26" s="15"/>
      <c r="AM26" s="15"/>
      <c r="AN26" s="15" t="str">
        <f t="shared" si="11"/>
        <v>WO</v>
      </c>
      <c r="AO26" s="16"/>
      <c r="AP26" s="40"/>
      <c r="AQ26" s="38"/>
      <c r="AR26" s="34">
        <v>18</v>
      </c>
      <c r="AS26" s="35" t="s">
        <v>49</v>
      </c>
      <c r="AT26" s="28" t="str">
        <f t="shared" si="4"/>
        <v>August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5</v>
      </c>
      <c r="AZ26" s="30">
        <f t="shared" si="9"/>
        <v>31</v>
      </c>
      <c r="BA26" s="30">
        <f>aug_repo[[#This Row],[Days]]-aug_repo[[#This Row],[Absent]]</f>
        <v>31</v>
      </c>
      <c r="BB26" s="31">
        <v>0</v>
      </c>
      <c r="BC26" s="32">
        <f>aug_repo[[#This Row],[Salary]]/aug_repo[[#This Row],[Days]]</f>
        <v>0</v>
      </c>
      <c r="BD26" s="30">
        <f>aug_repo[[#This Row],[Per Day Salary]]*aug_repo[[#This Row],[Absent]]</f>
        <v>0</v>
      </c>
      <c r="BE26" s="30">
        <f>aug_repo[[#This Row],[Salary]]-aug_repo[[#This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5</v>
      </c>
      <c r="K27" s="15"/>
      <c r="L27" s="15" t="str">
        <f t="shared" si="12"/>
        <v>WO</v>
      </c>
      <c r="M27" s="15"/>
      <c r="N27" s="15"/>
      <c r="O27" s="15"/>
      <c r="P27" s="15"/>
      <c r="Q27" s="15"/>
      <c r="R27" s="15"/>
      <c r="S27" s="15" t="str">
        <f t="shared" si="12"/>
        <v>WO</v>
      </c>
      <c r="T27" s="15"/>
      <c r="U27" s="15"/>
      <c r="V27" s="15"/>
      <c r="W27" s="15"/>
      <c r="X27" s="15"/>
      <c r="Y27" s="15"/>
      <c r="Z27" s="15" t="str">
        <f t="shared" si="12"/>
        <v>WO</v>
      </c>
      <c r="AA27" s="15"/>
      <c r="AB27" s="15"/>
      <c r="AC27" s="15"/>
      <c r="AD27" s="15"/>
      <c r="AE27" s="15"/>
      <c r="AF27" s="15"/>
      <c r="AG27" s="15" t="str">
        <f t="shared" si="11"/>
        <v>WO</v>
      </c>
      <c r="AH27" s="15"/>
      <c r="AI27" s="15"/>
      <c r="AJ27" s="15"/>
      <c r="AK27" s="15"/>
      <c r="AL27" s="15"/>
      <c r="AM27" s="15"/>
      <c r="AN27" s="15" t="str">
        <f t="shared" si="11"/>
        <v>WO</v>
      </c>
      <c r="AO27" s="16"/>
      <c r="AP27" s="40"/>
      <c r="AQ27" s="38"/>
      <c r="AR27" s="34">
        <v>19</v>
      </c>
      <c r="AS27" s="35" t="s">
        <v>50</v>
      </c>
      <c r="AT27" s="28" t="str">
        <f t="shared" si="4"/>
        <v>August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5</v>
      </c>
      <c r="AZ27" s="30">
        <f t="shared" si="9"/>
        <v>31</v>
      </c>
      <c r="BA27" s="30">
        <f>aug_repo[[#This Row],[Days]]-aug_repo[[#This Row],[Absent]]</f>
        <v>31</v>
      </c>
      <c r="BB27" s="31">
        <v>0</v>
      </c>
      <c r="BC27" s="32">
        <f>aug_repo[[#This Row],[Salary]]/aug_repo[[#This Row],[Days]]</f>
        <v>0</v>
      </c>
      <c r="BD27" s="30">
        <f>aug_repo[[#This Row],[Per Day Salary]]*aug_repo[[#This Row],[Absent]]</f>
        <v>0</v>
      </c>
      <c r="BE27" s="30">
        <f>aug_repo[[#This Row],[Salary]]-aug_repo[[#This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5</v>
      </c>
      <c r="K28" s="15"/>
      <c r="L28" s="15" t="str">
        <f t="shared" si="12"/>
        <v>WO</v>
      </c>
      <c r="M28" s="15"/>
      <c r="N28" s="15"/>
      <c r="O28" s="15"/>
      <c r="P28" s="15"/>
      <c r="Q28" s="15"/>
      <c r="R28" s="15"/>
      <c r="S28" s="15" t="str">
        <f t="shared" si="12"/>
        <v>WO</v>
      </c>
      <c r="T28" s="15"/>
      <c r="U28" s="15"/>
      <c r="V28" s="15"/>
      <c r="W28" s="15"/>
      <c r="X28" s="15"/>
      <c r="Y28" s="15"/>
      <c r="Z28" s="15" t="str">
        <f t="shared" si="12"/>
        <v>WO</v>
      </c>
      <c r="AA28" s="15"/>
      <c r="AB28" s="15"/>
      <c r="AC28" s="15"/>
      <c r="AD28" s="15"/>
      <c r="AE28" s="15"/>
      <c r="AF28" s="15"/>
      <c r="AG28" s="15" t="str">
        <f t="shared" si="11"/>
        <v>WO</v>
      </c>
      <c r="AH28" s="15"/>
      <c r="AI28" s="15"/>
      <c r="AJ28" s="15"/>
      <c r="AK28" s="15"/>
      <c r="AL28" s="15"/>
      <c r="AM28" s="15"/>
      <c r="AN28" s="15" t="str">
        <f t="shared" si="11"/>
        <v>WO</v>
      </c>
      <c r="AO28" s="16"/>
      <c r="AP28" s="40"/>
      <c r="AQ28" s="38"/>
      <c r="AR28" s="34">
        <v>20</v>
      </c>
      <c r="AS28" s="35" t="s">
        <v>51</v>
      </c>
      <c r="AT28" s="28" t="str">
        <f t="shared" si="4"/>
        <v>August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5</v>
      </c>
      <c r="AZ28" s="30">
        <f t="shared" si="9"/>
        <v>31</v>
      </c>
      <c r="BA28" s="30">
        <f>aug_repo[[#This Row],[Days]]-aug_repo[[#This Row],[Absent]]</f>
        <v>31</v>
      </c>
      <c r="BB28" s="31">
        <v>0</v>
      </c>
      <c r="BC28" s="32">
        <f>aug_repo[[#This Row],[Salary]]/aug_repo[[#This Row],[Days]]</f>
        <v>0</v>
      </c>
      <c r="BD28" s="30">
        <f>aug_repo[[#This Row],[Per Day Salary]]*aug_repo[[#This Row],[Absent]]</f>
        <v>0</v>
      </c>
      <c r="BE28" s="30">
        <f>aug_repo[[#This Row],[Salary]]-aug_repo[[#This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5</v>
      </c>
      <c r="K29" s="15"/>
      <c r="L29" s="15" t="str">
        <f t="shared" si="12"/>
        <v>WO</v>
      </c>
      <c r="M29" s="15"/>
      <c r="N29" s="15"/>
      <c r="O29" s="15"/>
      <c r="P29" s="15"/>
      <c r="Q29" s="15"/>
      <c r="R29" s="15"/>
      <c r="S29" s="15" t="str">
        <f t="shared" si="12"/>
        <v>WO</v>
      </c>
      <c r="T29" s="15"/>
      <c r="U29" s="15"/>
      <c r="V29" s="15"/>
      <c r="W29" s="15"/>
      <c r="X29" s="15"/>
      <c r="Y29" s="15"/>
      <c r="Z29" s="15" t="str">
        <f t="shared" si="12"/>
        <v>WO</v>
      </c>
      <c r="AA29" s="15"/>
      <c r="AB29" s="15"/>
      <c r="AC29" s="15"/>
      <c r="AD29" s="15"/>
      <c r="AE29" s="15"/>
      <c r="AF29" s="15"/>
      <c r="AG29" s="15" t="str">
        <f t="shared" si="11"/>
        <v>WO</v>
      </c>
      <c r="AH29" s="15"/>
      <c r="AI29" s="15"/>
      <c r="AJ29" s="15"/>
      <c r="AK29" s="15"/>
      <c r="AL29" s="15"/>
      <c r="AM29" s="15"/>
      <c r="AN29" s="15" t="str">
        <f t="shared" si="11"/>
        <v>WO</v>
      </c>
      <c r="AO29" s="16"/>
      <c r="AP29" s="40"/>
      <c r="AQ29" s="38"/>
      <c r="AR29" s="34">
        <v>21</v>
      </c>
      <c r="AS29" s="35" t="s">
        <v>52</v>
      </c>
      <c r="AT29" s="28" t="str">
        <f t="shared" si="4"/>
        <v>August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5</v>
      </c>
      <c r="AZ29" s="30">
        <f t="shared" si="9"/>
        <v>31</v>
      </c>
      <c r="BA29" s="30">
        <f>aug_repo[[#This Row],[Days]]-aug_repo[[#This Row],[Absent]]</f>
        <v>31</v>
      </c>
      <c r="BB29" s="31">
        <v>0</v>
      </c>
      <c r="BC29" s="32">
        <f>aug_repo[[#This Row],[Salary]]/aug_repo[[#This Row],[Days]]</f>
        <v>0</v>
      </c>
      <c r="BD29" s="30">
        <f>aug_repo[[#This Row],[Per Day Salary]]*aug_repo[[#This Row],[Absent]]</f>
        <v>0</v>
      </c>
      <c r="BE29" s="30">
        <f>aug_repo[[#This Row],[Salary]]-aug_repo[[#This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5</v>
      </c>
      <c r="K30" s="15"/>
      <c r="L30" s="15" t="str">
        <f t="shared" si="12"/>
        <v>WO</v>
      </c>
      <c r="M30" s="15"/>
      <c r="N30" s="15"/>
      <c r="O30" s="15"/>
      <c r="P30" s="15"/>
      <c r="Q30" s="15"/>
      <c r="R30" s="15"/>
      <c r="S30" s="15" t="str">
        <f t="shared" si="12"/>
        <v>WO</v>
      </c>
      <c r="T30" s="15"/>
      <c r="U30" s="15"/>
      <c r="V30" s="15"/>
      <c r="W30" s="15"/>
      <c r="X30" s="15"/>
      <c r="Y30" s="15"/>
      <c r="Z30" s="15" t="str">
        <f t="shared" si="12"/>
        <v>WO</v>
      </c>
      <c r="AA30" s="15"/>
      <c r="AB30" s="15"/>
      <c r="AC30" s="15"/>
      <c r="AD30" s="15"/>
      <c r="AE30" s="15"/>
      <c r="AF30" s="15"/>
      <c r="AG30" s="15" t="str">
        <f t="shared" si="11"/>
        <v>WO</v>
      </c>
      <c r="AH30" s="15"/>
      <c r="AI30" s="15"/>
      <c r="AJ30" s="15"/>
      <c r="AK30" s="15"/>
      <c r="AL30" s="15"/>
      <c r="AM30" s="15"/>
      <c r="AN30" s="15" t="str">
        <f t="shared" si="11"/>
        <v>WO</v>
      </c>
      <c r="AO30" s="16"/>
      <c r="AP30" s="40"/>
      <c r="AQ30" s="38"/>
      <c r="AR30" s="34">
        <v>22</v>
      </c>
      <c r="AS30" s="35" t="s">
        <v>53</v>
      </c>
      <c r="AT30" s="28" t="str">
        <f t="shared" si="4"/>
        <v>August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5</v>
      </c>
      <c r="AZ30" s="30">
        <f t="shared" si="9"/>
        <v>31</v>
      </c>
      <c r="BA30" s="30">
        <f>aug_repo[[#This Row],[Days]]-aug_repo[[#This Row],[Absent]]</f>
        <v>31</v>
      </c>
      <c r="BB30" s="31">
        <v>0</v>
      </c>
      <c r="BC30" s="32">
        <f>aug_repo[[#This Row],[Salary]]/aug_repo[[#This Row],[Days]]</f>
        <v>0</v>
      </c>
      <c r="BD30" s="30">
        <f>aug_repo[[#This Row],[Per Day Salary]]*aug_repo[[#This Row],[Absent]]</f>
        <v>0</v>
      </c>
      <c r="BE30" s="30">
        <f>aug_repo[[#This Row],[Salary]]-aug_repo[[#This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5</v>
      </c>
      <c r="K31" s="15"/>
      <c r="L31" s="15" t="str">
        <f t="shared" si="12"/>
        <v>WO</v>
      </c>
      <c r="M31" s="15"/>
      <c r="N31" s="15"/>
      <c r="O31" s="15"/>
      <c r="P31" s="15"/>
      <c r="Q31" s="15"/>
      <c r="R31" s="15"/>
      <c r="S31" s="15" t="str">
        <f t="shared" si="12"/>
        <v>WO</v>
      </c>
      <c r="T31" s="15"/>
      <c r="U31" s="15"/>
      <c r="V31" s="15"/>
      <c r="W31" s="15"/>
      <c r="X31" s="15"/>
      <c r="Y31" s="15"/>
      <c r="Z31" s="15" t="str">
        <f t="shared" si="12"/>
        <v>WO</v>
      </c>
      <c r="AA31" s="15"/>
      <c r="AB31" s="15"/>
      <c r="AC31" s="15"/>
      <c r="AD31" s="15"/>
      <c r="AE31" s="15"/>
      <c r="AF31" s="15"/>
      <c r="AG31" s="15" t="str">
        <f t="shared" si="11"/>
        <v>WO</v>
      </c>
      <c r="AH31" s="15"/>
      <c r="AI31" s="15"/>
      <c r="AJ31" s="15"/>
      <c r="AK31" s="15"/>
      <c r="AL31" s="15"/>
      <c r="AM31" s="15"/>
      <c r="AN31" s="15" t="str">
        <f t="shared" si="11"/>
        <v>WO</v>
      </c>
      <c r="AO31" s="16"/>
      <c r="AP31" s="40"/>
      <c r="AQ31" s="38"/>
      <c r="AR31" s="34">
        <v>23</v>
      </c>
      <c r="AS31" s="35" t="s">
        <v>54</v>
      </c>
      <c r="AT31" s="28" t="str">
        <f t="shared" si="4"/>
        <v>August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5</v>
      </c>
      <c r="AZ31" s="30">
        <f t="shared" si="9"/>
        <v>31</v>
      </c>
      <c r="BA31" s="30">
        <f>aug_repo[[#This Row],[Days]]-aug_repo[[#This Row],[Absent]]</f>
        <v>31</v>
      </c>
      <c r="BB31" s="31">
        <v>0</v>
      </c>
      <c r="BC31" s="32">
        <f>aug_repo[[#This Row],[Salary]]/aug_repo[[#This Row],[Days]]</f>
        <v>0</v>
      </c>
      <c r="BD31" s="30">
        <f>aug_repo[[#This Row],[Per Day Salary]]*aug_repo[[#This Row],[Absent]]</f>
        <v>0</v>
      </c>
      <c r="BE31" s="30">
        <f>aug_repo[[#This Row],[Salary]]-aug_repo[[#This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5</v>
      </c>
      <c r="K32" s="15"/>
      <c r="L32" s="15" t="str">
        <f t="shared" si="12"/>
        <v>WO</v>
      </c>
      <c r="M32" s="15"/>
      <c r="N32" s="15"/>
      <c r="O32" s="15"/>
      <c r="P32" s="15"/>
      <c r="Q32" s="15"/>
      <c r="R32" s="15"/>
      <c r="S32" s="15" t="str">
        <f t="shared" si="12"/>
        <v>WO</v>
      </c>
      <c r="T32" s="15"/>
      <c r="U32" s="15"/>
      <c r="V32" s="15"/>
      <c r="W32" s="15"/>
      <c r="X32" s="15"/>
      <c r="Y32" s="15"/>
      <c r="Z32" s="15" t="str">
        <f t="shared" si="12"/>
        <v>WO</v>
      </c>
      <c r="AA32" s="15"/>
      <c r="AB32" s="15"/>
      <c r="AC32" s="15"/>
      <c r="AD32" s="15"/>
      <c r="AE32" s="15"/>
      <c r="AF32" s="15"/>
      <c r="AG32" s="15" t="str">
        <f t="shared" si="11"/>
        <v>WO</v>
      </c>
      <c r="AH32" s="15"/>
      <c r="AI32" s="15"/>
      <c r="AJ32" s="15"/>
      <c r="AK32" s="15"/>
      <c r="AL32" s="15"/>
      <c r="AM32" s="15"/>
      <c r="AN32" s="15" t="str">
        <f t="shared" si="11"/>
        <v>WO</v>
      </c>
      <c r="AO32" s="16"/>
      <c r="AP32" s="40"/>
      <c r="AQ32" s="38"/>
      <c r="AR32" s="34">
        <v>24</v>
      </c>
      <c r="AS32" s="35" t="s">
        <v>55</v>
      </c>
      <c r="AT32" s="28" t="str">
        <f t="shared" si="4"/>
        <v>August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5</v>
      </c>
      <c r="AZ32" s="30">
        <f t="shared" si="9"/>
        <v>31</v>
      </c>
      <c r="BA32" s="30">
        <f>aug_repo[[#This Row],[Days]]-aug_repo[[#This Row],[Absent]]</f>
        <v>31</v>
      </c>
      <c r="BB32" s="31">
        <v>0</v>
      </c>
      <c r="BC32" s="32">
        <f>aug_repo[[#This Row],[Salary]]/aug_repo[[#This Row],[Days]]</f>
        <v>0</v>
      </c>
      <c r="BD32" s="30">
        <f>aug_repo[[#This Row],[Per Day Salary]]*aug_repo[[#This Row],[Absent]]</f>
        <v>0</v>
      </c>
      <c r="BE32" s="30">
        <f>aug_repo[[#This Row],[Salary]]-aug_repo[[#This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5</v>
      </c>
      <c r="K33" s="15"/>
      <c r="L33" s="15" t="str">
        <f t="shared" si="12"/>
        <v>WO</v>
      </c>
      <c r="M33" s="15"/>
      <c r="N33" s="15"/>
      <c r="O33" s="15"/>
      <c r="P33" s="15"/>
      <c r="Q33" s="15"/>
      <c r="R33" s="15"/>
      <c r="S33" s="15" t="str">
        <f t="shared" ref="S33:AG38" si="13">IF(S$7="Sun","WO","")</f>
        <v>WO</v>
      </c>
      <c r="T33" s="15"/>
      <c r="U33" s="15"/>
      <c r="V33" s="15"/>
      <c r="W33" s="15"/>
      <c r="X33" s="15"/>
      <c r="Y33" s="15"/>
      <c r="Z33" s="15" t="str">
        <f t="shared" si="13"/>
        <v>WO</v>
      </c>
      <c r="AA33" s="15"/>
      <c r="AB33" s="15"/>
      <c r="AC33" s="15"/>
      <c r="AD33" s="15"/>
      <c r="AE33" s="15"/>
      <c r="AF33" s="15"/>
      <c r="AG33" s="15" t="str">
        <f t="shared" si="13"/>
        <v>WO</v>
      </c>
      <c r="AH33" s="15"/>
      <c r="AI33" s="15"/>
      <c r="AJ33" s="15"/>
      <c r="AK33" s="15"/>
      <c r="AL33" s="15"/>
      <c r="AM33" s="15"/>
      <c r="AN33" s="15" t="str">
        <f t="shared" si="11"/>
        <v>WO</v>
      </c>
      <c r="AO33" s="16"/>
      <c r="AP33" s="40"/>
      <c r="AQ33" s="38"/>
      <c r="AR33" s="34">
        <v>25</v>
      </c>
      <c r="AS33" s="35" t="s">
        <v>56</v>
      </c>
      <c r="AT33" s="28" t="str">
        <f t="shared" si="4"/>
        <v>August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5</v>
      </c>
      <c r="AZ33" s="30">
        <f t="shared" si="9"/>
        <v>31</v>
      </c>
      <c r="BA33" s="30">
        <f>aug_repo[[#This Row],[Days]]-aug_repo[[#This Row],[Absent]]</f>
        <v>31</v>
      </c>
      <c r="BB33" s="31">
        <v>0</v>
      </c>
      <c r="BC33" s="32">
        <f>aug_repo[[#This Row],[Salary]]/aug_repo[[#This Row],[Days]]</f>
        <v>0</v>
      </c>
      <c r="BD33" s="30">
        <f>aug_repo[[#This Row],[Per Day Salary]]*aug_repo[[#This Row],[Absent]]</f>
        <v>0</v>
      </c>
      <c r="BE33" s="30">
        <f>aug_repo[[#This Row],[Salary]]-aug_repo[[#This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5</v>
      </c>
      <c r="K34" s="15"/>
      <c r="L34" s="15" t="str">
        <f t="shared" ref="L34:Z38" si="14">IF(L$7="Sun","WO","")</f>
        <v>WO</v>
      </c>
      <c r="M34" s="15"/>
      <c r="N34" s="15"/>
      <c r="O34" s="15"/>
      <c r="P34" s="15"/>
      <c r="Q34" s="15"/>
      <c r="R34" s="15"/>
      <c r="S34" s="15" t="str">
        <f t="shared" si="14"/>
        <v>WO</v>
      </c>
      <c r="T34" s="15"/>
      <c r="U34" s="15"/>
      <c r="V34" s="15"/>
      <c r="W34" s="15"/>
      <c r="X34" s="15"/>
      <c r="Y34" s="15"/>
      <c r="Z34" s="15" t="str">
        <f t="shared" si="14"/>
        <v>WO</v>
      </c>
      <c r="AA34" s="15"/>
      <c r="AB34" s="15"/>
      <c r="AC34" s="15"/>
      <c r="AD34" s="15"/>
      <c r="AE34" s="15"/>
      <c r="AF34" s="15"/>
      <c r="AG34" s="15" t="str">
        <f t="shared" si="13"/>
        <v>WO</v>
      </c>
      <c r="AH34" s="15"/>
      <c r="AI34" s="15"/>
      <c r="AJ34" s="15"/>
      <c r="AK34" s="15"/>
      <c r="AL34" s="15"/>
      <c r="AM34" s="15"/>
      <c r="AN34" s="15" t="str">
        <f t="shared" si="11"/>
        <v>WO</v>
      </c>
      <c r="AO34" s="16"/>
      <c r="AP34" s="40"/>
      <c r="AQ34" s="38"/>
      <c r="AR34" s="34">
        <v>26</v>
      </c>
      <c r="AS34" s="35" t="s">
        <v>57</v>
      </c>
      <c r="AT34" s="28" t="str">
        <f t="shared" si="4"/>
        <v>August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5</v>
      </c>
      <c r="AZ34" s="30">
        <f t="shared" si="9"/>
        <v>31</v>
      </c>
      <c r="BA34" s="30">
        <f>aug_repo[[#This Row],[Days]]-aug_repo[[#This Row],[Absent]]</f>
        <v>31</v>
      </c>
      <c r="BB34" s="31">
        <v>0</v>
      </c>
      <c r="BC34" s="32">
        <f>aug_repo[[#This Row],[Salary]]/aug_repo[[#This Row],[Days]]</f>
        <v>0</v>
      </c>
      <c r="BD34" s="30">
        <f>aug_repo[[#This Row],[Per Day Salary]]*aug_repo[[#This Row],[Absent]]</f>
        <v>0</v>
      </c>
      <c r="BE34" s="30">
        <f>aug_repo[[#This Row],[Salary]]-aug_repo[[#This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5</v>
      </c>
      <c r="K35" s="15"/>
      <c r="L35" s="15" t="str">
        <f t="shared" si="14"/>
        <v>WO</v>
      </c>
      <c r="M35" s="15"/>
      <c r="N35" s="15"/>
      <c r="O35" s="15"/>
      <c r="P35" s="15"/>
      <c r="Q35" s="15"/>
      <c r="R35" s="15"/>
      <c r="S35" s="15" t="str">
        <f t="shared" si="14"/>
        <v>WO</v>
      </c>
      <c r="T35" s="15"/>
      <c r="U35" s="15"/>
      <c r="V35" s="15"/>
      <c r="W35" s="15"/>
      <c r="X35" s="15"/>
      <c r="Y35" s="15"/>
      <c r="Z35" s="15" t="str">
        <f t="shared" si="14"/>
        <v>WO</v>
      </c>
      <c r="AA35" s="15"/>
      <c r="AB35" s="15"/>
      <c r="AC35" s="15"/>
      <c r="AD35" s="15"/>
      <c r="AE35" s="15"/>
      <c r="AF35" s="15"/>
      <c r="AG35" s="15" t="str">
        <f t="shared" si="13"/>
        <v>WO</v>
      </c>
      <c r="AH35" s="15"/>
      <c r="AI35" s="15"/>
      <c r="AJ35" s="15"/>
      <c r="AK35" s="15"/>
      <c r="AL35" s="15"/>
      <c r="AM35" s="15"/>
      <c r="AN35" s="15" t="str">
        <f t="shared" ref="AN35:AN38" si="15">IF(AN$7="Sun","WO","")</f>
        <v>WO</v>
      </c>
      <c r="AO35" s="16"/>
      <c r="AP35" s="40"/>
      <c r="AQ35" s="38"/>
      <c r="AR35" s="34">
        <v>27</v>
      </c>
      <c r="AS35" s="35" t="s">
        <v>58</v>
      </c>
      <c r="AT35" s="28" t="str">
        <f t="shared" si="4"/>
        <v>August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5</v>
      </c>
      <c r="AZ35" s="30">
        <f t="shared" si="9"/>
        <v>31</v>
      </c>
      <c r="BA35" s="30">
        <f>aug_repo[[#This Row],[Days]]-aug_repo[[#This Row],[Absent]]</f>
        <v>31</v>
      </c>
      <c r="BB35" s="31">
        <v>0</v>
      </c>
      <c r="BC35" s="32">
        <f>aug_repo[[#This Row],[Salary]]/aug_repo[[#This Row],[Days]]</f>
        <v>0</v>
      </c>
      <c r="BD35" s="30">
        <f>aug_repo[[#This Row],[Per Day Salary]]*aug_repo[[#This Row],[Absent]]</f>
        <v>0</v>
      </c>
      <c r="BE35" s="30">
        <f>aug_repo[[#This Row],[Salary]]-aug_repo[[#This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5</v>
      </c>
      <c r="K36" s="15"/>
      <c r="L36" s="15" t="str">
        <f t="shared" si="14"/>
        <v>WO</v>
      </c>
      <c r="M36" s="15"/>
      <c r="N36" s="15"/>
      <c r="O36" s="15"/>
      <c r="P36" s="15"/>
      <c r="Q36" s="15"/>
      <c r="R36" s="15"/>
      <c r="S36" s="15" t="str">
        <f t="shared" si="14"/>
        <v>WO</v>
      </c>
      <c r="T36" s="15"/>
      <c r="U36" s="15"/>
      <c r="V36" s="15"/>
      <c r="W36" s="15"/>
      <c r="X36" s="15"/>
      <c r="Y36" s="15"/>
      <c r="Z36" s="15" t="str">
        <f t="shared" si="14"/>
        <v>WO</v>
      </c>
      <c r="AA36" s="15"/>
      <c r="AB36" s="15"/>
      <c r="AC36" s="15"/>
      <c r="AD36" s="15"/>
      <c r="AE36" s="15"/>
      <c r="AF36" s="15"/>
      <c r="AG36" s="15" t="str">
        <f t="shared" si="13"/>
        <v>WO</v>
      </c>
      <c r="AH36" s="15"/>
      <c r="AI36" s="15"/>
      <c r="AJ36" s="15"/>
      <c r="AK36" s="15"/>
      <c r="AL36" s="15"/>
      <c r="AM36" s="15"/>
      <c r="AN36" s="15" t="str">
        <f t="shared" si="15"/>
        <v>WO</v>
      </c>
      <c r="AO36" s="16"/>
      <c r="AP36" s="40"/>
      <c r="AQ36" s="38"/>
      <c r="AR36" s="34">
        <v>28</v>
      </c>
      <c r="AS36" s="35" t="s">
        <v>59</v>
      </c>
      <c r="AT36" s="28" t="str">
        <f t="shared" si="4"/>
        <v>August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5</v>
      </c>
      <c r="AZ36" s="30">
        <f t="shared" si="9"/>
        <v>31</v>
      </c>
      <c r="BA36" s="30">
        <f>aug_repo[[#This Row],[Days]]-aug_repo[[#This Row],[Absent]]</f>
        <v>31</v>
      </c>
      <c r="BB36" s="31">
        <v>0</v>
      </c>
      <c r="BC36" s="32">
        <f>aug_repo[[#This Row],[Salary]]/aug_repo[[#This Row],[Days]]</f>
        <v>0</v>
      </c>
      <c r="BD36" s="30">
        <f>aug_repo[[#This Row],[Per Day Salary]]*aug_repo[[#This Row],[Absent]]</f>
        <v>0</v>
      </c>
      <c r="BE36" s="30">
        <f>aug_repo[[#This Row],[Salary]]-aug_repo[[#This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5</v>
      </c>
      <c r="K37" s="15"/>
      <c r="L37" s="15" t="str">
        <f t="shared" si="14"/>
        <v>WO</v>
      </c>
      <c r="M37" s="15"/>
      <c r="N37" s="15"/>
      <c r="O37" s="15"/>
      <c r="P37" s="15"/>
      <c r="Q37" s="15"/>
      <c r="R37" s="15"/>
      <c r="S37" s="15" t="str">
        <f t="shared" si="14"/>
        <v>WO</v>
      </c>
      <c r="T37" s="15"/>
      <c r="U37" s="15"/>
      <c r="V37" s="15"/>
      <c r="W37" s="15"/>
      <c r="X37" s="15"/>
      <c r="Y37" s="15"/>
      <c r="Z37" s="15" t="str">
        <f t="shared" si="14"/>
        <v>WO</v>
      </c>
      <c r="AA37" s="15"/>
      <c r="AB37" s="15"/>
      <c r="AC37" s="15"/>
      <c r="AD37" s="15"/>
      <c r="AE37" s="15"/>
      <c r="AF37" s="15"/>
      <c r="AG37" s="15" t="str">
        <f t="shared" si="13"/>
        <v>WO</v>
      </c>
      <c r="AH37" s="15"/>
      <c r="AI37" s="15"/>
      <c r="AJ37" s="15"/>
      <c r="AK37" s="15"/>
      <c r="AL37" s="15"/>
      <c r="AM37" s="15"/>
      <c r="AN37" s="15" t="str">
        <f t="shared" si="15"/>
        <v>WO</v>
      </c>
      <c r="AO37" s="16"/>
      <c r="AP37" s="40"/>
      <c r="AQ37" s="38"/>
      <c r="AR37" s="34">
        <v>29</v>
      </c>
      <c r="AS37" s="35" t="s">
        <v>60</v>
      </c>
      <c r="AT37" s="28" t="str">
        <f t="shared" si="4"/>
        <v>August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5</v>
      </c>
      <c r="AZ37" s="30">
        <f t="shared" si="9"/>
        <v>31</v>
      </c>
      <c r="BA37" s="30">
        <f>aug_repo[[#This Row],[Days]]-aug_repo[[#This Row],[Absent]]</f>
        <v>31</v>
      </c>
      <c r="BB37" s="31">
        <v>0</v>
      </c>
      <c r="BC37" s="32">
        <f>aug_repo[[#This Row],[Salary]]/aug_repo[[#This Row],[Days]]</f>
        <v>0</v>
      </c>
      <c r="BD37" s="30">
        <f>aug_repo[[#This Row],[Per Day Salary]]*aug_repo[[#This Row],[Absent]]</f>
        <v>0</v>
      </c>
      <c r="BE37" s="30">
        <f>aug_repo[[#This Row],[Salary]]-aug_repo[[#This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5</v>
      </c>
      <c r="K38" s="21"/>
      <c r="L38" s="21" t="str">
        <f t="shared" si="14"/>
        <v>WO</v>
      </c>
      <c r="M38" s="21"/>
      <c r="N38" s="21"/>
      <c r="O38" s="21"/>
      <c r="P38" s="21"/>
      <c r="Q38" s="21"/>
      <c r="R38" s="21"/>
      <c r="S38" s="21" t="str">
        <f t="shared" si="14"/>
        <v>WO</v>
      </c>
      <c r="T38" s="21"/>
      <c r="U38" s="21"/>
      <c r="V38" s="21"/>
      <c r="W38" s="21"/>
      <c r="X38" s="21"/>
      <c r="Y38" s="21"/>
      <c r="Z38" s="21" t="str">
        <f t="shared" si="14"/>
        <v>WO</v>
      </c>
      <c r="AA38" s="21"/>
      <c r="AB38" s="21"/>
      <c r="AC38" s="21"/>
      <c r="AD38" s="21"/>
      <c r="AE38" s="21"/>
      <c r="AF38" s="21"/>
      <c r="AG38" s="21" t="str">
        <f t="shared" si="13"/>
        <v>WO</v>
      </c>
      <c r="AH38" s="21"/>
      <c r="AI38" s="21"/>
      <c r="AJ38" s="21"/>
      <c r="AK38" s="21"/>
      <c r="AL38" s="21"/>
      <c r="AM38" s="21"/>
      <c r="AN38" s="21" t="str">
        <f t="shared" si="15"/>
        <v>WO</v>
      </c>
      <c r="AO38" s="22"/>
      <c r="AP38" s="40"/>
      <c r="AQ38" s="38"/>
      <c r="AR38" s="36">
        <v>30</v>
      </c>
      <c r="AS38" s="37" t="s">
        <v>61</v>
      </c>
      <c r="AT38" s="28" t="str">
        <f t="shared" si="4"/>
        <v>August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5</v>
      </c>
      <c r="AZ38" s="30">
        <f t="shared" si="9"/>
        <v>31</v>
      </c>
      <c r="BA38" s="30">
        <f>aug_repo[[#This Row],[Days]]-aug_repo[[#This Row],[Absent]]</f>
        <v>31</v>
      </c>
      <c r="BB38" s="31">
        <v>0</v>
      </c>
      <c r="BC38" s="32">
        <f>aug_repo[[#This Row],[Salary]]/aug_repo[[#This Row],[Days]]</f>
        <v>0</v>
      </c>
      <c r="BD38" s="30">
        <f>aug_repo[[#This Row],[Per Day Salary]]*aug_repo[[#This Row],[Absent]]</f>
        <v>0</v>
      </c>
      <c r="BE38" s="30">
        <f>aug_repo[[#This Row],[Salary]]-aug_repo[[#This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154" priority="12" operator="containsText" text="WO">
      <formula>NOT(ISERROR(SEARCH("WO",H5)))</formula>
    </cfRule>
  </conditionalFormatting>
  <conditionalFormatting sqref="K9">
    <cfRule type="containsText" dxfId="153" priority="5" operator="containsText" text="L">
      <formula>NOT(ISERROR(SEARCH("L",K9)))</formula>
    </cfRule>
    <cfRule type="containsText" dxfId="152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151" priority="9" operator="containsText" text="WO">
      <formula>NOT(ISERROR(SEARCH("WO",A1)))</formula>
    </cfRule>
    <cfRule type="containsText" dxfId="150" priority="10" operator="containsText" text="WO">
      <formula>NOT(ISERROR(SEARCH("WO",A1)))</formula>
    </cfRule>
  </conditionalFormatting>
  <conditionalFormatting sqref="K9:AO38">
    <cfRule type="containsText" dxfId="149" priority="6" operator="containsText" text="L">
      <formula>NOT(ISERROR(SEARCH("L",K9)))</formula>
    </cfRule>
    <cfRule type="containsText" dxfId="148" priority="7" operator="containsText" text="A">
      <formula>NOT(ISERROR(SEARCH("A",K9)))</formula>
    </cfRule>
    <cfRule type="containsText" dxfId="147" priority="8" operator="containsText" text="P">
      <formula>NOT(ISERROR(SEARCH("P",K9)))</formula>
    </cfRule>
  </conditionalFormatting>
  <conditionalFormatting sqref="BB9:BB38">
    <cfRule type="containsText" dxfId="146" priority="3" operator="containsText" text="WO">
      <formula>NOT(ISERROR(SEARCH("WO",BB9)))</formula>
    </cfRule>
    <cfRule type="containsText" dxfId="145" priority="4" operator="containsText" text="WO">
      <formula>NOT(ISERROR(SEARCH("WO",BB9)))</formula>
    </cfRule>
  </conditionalFormatting>
  <conditionalFormatting sqref="I9:I12">
    <cfRule type="containsText" dxfId="144" priority="1" operator="containsText" text="WO">
      <formula>NOT(ISERROR(SEARCH("WO",I9)))</formula>
    </cfRule>
    <cfRule type="containsText" dxfId="143" priority="2" operator="containsText" text="WO">
      <formula>NOT(ISERROR(SEARCH("WO",I9)))</formula>
    </cfRule>
  </conditionalFormatting>
  <dataValidations count="1">
    <dataValidation type="list" allowBlank="1" showInputMessage="1" showErrorMessage="1" sqref="K9:K38 M9:R38 T9:Y38 AA9:AF38 AH9:AM38 AO9:AO38" xr:uid="{00000000-0002-0000-07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700-000007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AUG!AV9:AY9</xm:f>
              <xm:sqref>BF9</xm:sqref>
            </x14:sparkline>
            <x14:sparkline>
              <xm:f>AUG!AV10:AY10</xm:f>
              <xm:sqref>BF10</xm:sqref>
            </x14:sparkline>
            <x14:sparkline>
              <xm:f>AUG!AV11:AY11</xm:f>
              <xm:sqref>BF11</xm:sqref>
            </x14:sparkline>
            <x14:sparkline>
              <xm:f>AUG!AV12:AY12</xm:f>
              <xm:sqref>BF12</xm:sqref>
            </x14:sparkline>
            <x14:sparkline>
              <xm:f>AUG!AV13:AY13</xm:f>
              <xm:sqref>BF13</xm:sqref>
            </x14:sparkline>
            <x14:sparkline>
              <xm:f>AUG!AV14:AY14</xm:f>
              <xm:sqref>BF14</xm:sqref>
            </x14:sparkline>
            <x14:sparkline>
              <xm:f>AUG!AV15:AY15</xm:f>
              <xm:sqref>BF15</xm:sqref>
            </x14:sparkline>
            <x14:sparkline>
              <xm:f>AUG!AV16:AY16</xm:f>
              <xm:sqref>BF16</xm:sqref>
            </x14:sparkline>
            <x14:sparkline>
              <xm:f>AUG!AV17:AY17</xm:f>
              <xm:sqref>BF17</xm:sqref>
            </x14:sparkline>
            <x14:sparkline>
              <xm:f>AUG!AV18:AY18</xm:f>
              <xm:sqref>BF18</xm:sqref>
            </x14:sparkline>
            <x14:sparkline>
              <xm:f>AUG!AV19:AY19</xm:f>
              <xm:sqref>BF19</xm:sqref>
            </x14:sparkline>
            <x14:sparkline>
              <xm:f>AUG!AV20:AY20</xm:f>
              <xm:sqref>BF20</xm:sqref>
            </x14:sparkline>
            <x14:sparkline>
              <xm:f>AUG!AV21:AY21</xm:f>
              <xm:sqref>BF21</xm:sqref>
            </x14:sparkline>
            <x14:sparkline>
              <xm:f>AUG!AV22:AY22</xm:f>
              <xm:sqref>BF22</xm:sqref>
            </x14:sparkline>
            <x14:sparkline>
              <xm:f>AUG!AV23:AY23</xm:f>
              <xm:sqref>BF23</xm:sqref>
            </x14:sparkline>
            <x14:sparkline>
              <xm:f>AUG!AV24:AY24</xm:f>
              <xm:sqref>BF24</xm:sqref>
            </x14:sparkline>
            <x14:sparkline>
              <xm:f>AUG!AV25:AY25</xm:f>
              <xm:sqref>BF25</xm:sqref>
            </x14:sparkline>
            <x14:sparkline>
              <xm:f>AUG!AV26:AY26</xm:f>
              <xm:sqref>BF26</xm:sqref>
            </x14:sparkline>
            <x14:sparkline>
              <xm:f>AUG!AV27:AY27</xm:f>
              <xm:sqref>BF27</xm:sqref>
            </x14:sparkline>
            <x14:sparkline>
              <xm:f>AUG!AV28:AY28</xm:f>
              <xm:sqref>BF28</xm:sqref>
            </x14:sparkline>
            <x14:sparkline>
              <xm:f>AUG!AV29:AY29</xm:f>
              <xm:sqref>BF29</xm:sqref>
            </x14:sparkline>
            <x14:sparkline>
              <xm:f>AUG!AV30:AY30</xm:f>
              <xm:sqref>BF30</xm:sqref>
            </x14:sparkline>
            <x14:sparkline>
              <xm:f>AUG!AV31:AY31</xm:f>
              <xm:sqref>BF31</xm:sqref>
            </x14:sparkline>
            <x14:sparkline>
              <xm:f>AUG!AV32:AY32</xm:f>
              <xm:sqref>BF32</xm:sqref>
            </x14:sparkline>
            <x14:sparkline>
              <xm:f>AUG!AV33:AY33</xm:f>
              <xm:sqref>BF33</xm:sqref>
            </x14:sparkline>
            <x14:sparkline>
              <xm:f>AUG!AV34:AY34</xm:f>
              <xm:sqref>BF34</xm:sqref>
            </x14:sparkline>
            <x14:sparkline>
              <xm:f>AUG!AV35:AY35</xm:f>
              <xm:sqref>BF35</xm:sqref>
            </x14:sparkline>
            <x14:sparkline>
              <xm:f>AUG!AV36:AY36</xm:f>
              <xm:sqref>BF36</xm:sqref>
            </x14:sparkline>
            <x14:sparkline>
              <xm:f>AUG!AV37:AY37</xm:f>
              <xm:sqref>BF37</xm:sqref>
            </x14:sparkline>
            <x14:sparkline>
              <xm:f>AUG!AV38:AY38</xm:f>
              <xm:sqref>BF38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Z163"/>
  <sheetViews>
    <sheetView topLeftCell="G10" zoomScaleNormal="10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46266</v>
      </c>
      <c r="I5" s="42">
        <f>(DATEDIF($H$5,$L$5,"D"))+1</f>
        <v>30</v>
      </c>
      <c r="J5" s="42" t="str">
        <f>TEXT(H5,"MMMM")</f>
        <v>September</v>
      </c>
      <c r="K5" s="42" t="s">
        <v>64</v>
      </c>
      <c r="L5" s="46">
        <f>EOMONTH(H5,0)</f>
        <v>46295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Tue</v>
      </c>
      <c r="L7" s="4" t="str">
        <f t="shared" ref="L7:AO7" si="0">TEXT(L8,"DDD")</f>
        <v>Wed</v>
      </c>
      <c r="M7" s="4" t="str">
        <f t="shared" si="0"/>
        <v>Thu</v>
      </c>
      <c r="N7" s="4" t="str">
        <f t="shared" si="0"/>
        <v>Fri</v>
      </c>
      <c r="O7" s="4" t="str">
        <f t="shared" si="0"/>
        <v>Sat</v>
      </c>
      <c r="P7" s="4" t="str">
        <f t="shared" si="0"/>
        <v>Sun</v>
      </c>
      <c r="Q7" s="4" t="str">
        <f t="shared" si="0"/>
        <v>Mon</v>
      </c>
      <c r="R7" s="4" t="str">
        <f t="shared" si="0"/>
        <v>Tue</v>
      </c>
      <c r="S7" s="4" t="str">
        <f t="shared" si="0"/>
        <v>Wed</v>
      </c>
      <c r="T7" s="4" t="str">
        <f t="shared" si="0"/>
        <v>Thu</v>
      </c>
      <c r="U7" s="4" t="str">
        <f t="shared" si="0"/>
        <v>Fri</v>
      </c>
      <c r="V7" s="4" t="str">
        <f t="shared" si="0"/>
        <v>Sat</v>
      </c>
      <c r="W7" s="4" t="str">
        <f t="shared" si="0"/>
        <v>Sun</v>
      </c>
      <c r="X7" s="4" t="str">
        <f t="shared" si="0"/>
        <v>Mon</v>
      </c>
      <c r="Y7" s="4" t="str">
        <f t="shared" si="0"/>
        <v>Tue</v>
      </c>
      <c r="Z7" s="4" t="str">
        <f t="shared" si="0"/>
        <v>Wed</v>
      </c>
      <c r="AA7" s="4" t="str">
        <f t="shared" si="0"/>
        <v>Thu</v>
      </c>
      <c r="AB7" s="4" t="str">
        <f t="shared" si="0"/>
        <v>Fri</v>
      </c>
      <c r="AC7" s="4" t="str">
        <f t="shared" si="0"/>
        <v>Sat</v>
      </c>
      <c r="AD7" s="4" t="str">
        <f t="shared" si="0"/>
        <v>Sun</v>
      </c>
      <c r="AE7" s="4" t="str">
        <f t="shared" si="0"/>
        <v>Mon</v>
      </c>
      <c r="AF7" s="4" t="str">
        <f t="shared" si="0"/>
        <v>Tue</v>
      </c>
      <c r="AG7" s="4" t="str">
        <f t="shared" si="0"/>
        <v>Wed</v>
      </c>
      <c r="AH7" s="4" t="str">
        <f t="shared" si="0"/>
        <v>Thu</v>
      </c>
      <c r="AI7" s="4" t="str">
        <f t="shared" si="0"/>
        <v>Fri</v>
      </c>
      <c r="AJ7" s="4" t="str">
        <f t="shared" si="0"/>
        <v>Sat</v>
      </c>
      <c r="AK7" s="4" t="str">
        <f t="shared" si="0"/>
        <v>Sun</v>
      </c>
      <c r="AL7" s="4" t="str">
        <f t="shared" si="0"/>
        <v>Mon</v>
      </c>
      <c r="AM7" s="4" t="str">
        <f t="shared" si="0"/>
        <v>Tue</v>
      </c>
      <c r="AN7" s="4" t="str">
        <f t="shared" si="0"/>
        <v>Wed</v>
      </c>
      <c r="AO7" s="4" t="str">
        <f t="shared" si="0"/>
        <v>Thu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46266</v>
      </c>
      <c r="L8" s="9">
        <f>IF(K8&lt;$L$5,K8+1,"")</f>
        <v>46267</v>
      </c>
      <c r="M8" s="9">
        <f t="shared" ref="M8:AM8" si="1">IF(L8&lt;$L$5,L8+1,"")</f>
        <v>46268</v>
      </c>
      <c r="N8" s="9">
        <f t="shared" si="1"/>
        <v>46269</v>
      </c>
      <c r="O8" s="9">
        <f t="shared" si="1"/>
        <v>46270</v>
      </c>
      <c r="P8" s="9">
        <f t="shared" si="1"/>
        <v>46271</v>
      </c>
      <c r="Q8" s="9">
        <f t="shared" si="1"/>
        <v>46272</v>
      </c>
      <c r="R8" s="9">
        <f t="shared" si="1"/>
        <v>46273</v>
      </c>
      <c r="S8" s="9">
        <f t="shared" si="1"/>
        <v>46274</v>
      </c>
      <c r="T8" s="9">
        <f t="shared" si="1"/>
        <v>46275</v>
      </c>
      <c r="U8" s="9">
        <f t="shared" si="1"/>
        <v>46276</v>
      </c>
      <c r="V8" s="9">
        <f t="shared" si="1"/>
        <v>46277</v>
      </c>
      <c r="W8" s="9">
        <f t="shared" si="1"/>
        <v>46278</v>
      </c>
      <c r="X8" s="9">
        <f t="shared" si="1"/>
        <v>46279</v>
      </c>
      <c r="Y8" s="9">
        <f t="shared" si="1"/>
        <v>46280</v>
      </c>
      <c r="Z8" s="9">
        <f t="shared" si="1"/>
        <v>46281</v>
      </c>
      <c r="AA8" s="9">
        <f t="shared" si="1"/>
        <v>46282</v>
      </c>
      <c r="AB8" s="9">
        <f t="shared" si="1"/>
        <v>46283</v>
      </c>
      <c r="AC8" s="9">
        <f t="shared" si="1"/>
        <v>46284</v>
      </c>
      <c r="AD8" s="9">
        <f t="shared" si="1"/>
        <v>46285</v>
      </c>
      <c r="AE8" s="9">
        <f t="shared" si="1"/>
        <v>46286</v>
      </c>
      <c r="AF8" s="9">
        <f t="shared" si="1"/>
        <v>46287</v>
      </c>
      <c r="AG8" s="9">
        <f t="shared" si="1"/>
        <v>46288</v>
      </c>
      <c r="AH8" s="9">
        <f t="shared" si="1"/>
        <v>46289</v>
      </c>
      <c r="AI8" s="9">
        <f t="shared" si="1"/>
        <v>46290</v>
      </c>
      <c r="AJ8" s="9">
        <f t="shared" si="1"/>
        <v>46291</v>
      </c>
      <c r="AK8" s="9">
        <f t="shared" si="1"/>
        <v>46292</v>
      </c>
      <c r="AL8" s="9">
        <f t="shared" si="1"/>
        <v>46293</v>
      </c>
      <c r="AM8" s="9">
        <f t="shared" si="1"/>
        <v>46294</v>
      </c>
      <c r="AN8" s="9">
        <f t="shared" ref="AN8:AO8" si="2">IF(AM8&lt;=$L$5,AM8+1,"")</f>
        <v>46295</v>
      </c>
      <c r="AO8" s="10">
        <f t="shared" si="2"/>
        <v>46296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/>
      <c r="O9" s="15"/>
      <c r="P9" s="15" t="str">
        <f t="shared" ref="P9:AK17" si="3">IF(P$7="Sun","WO","")</f>
        <v>WO</v>
      </c>
      <c r="Q9" s="15"/>
      <c r="R9" s="15"/>
      <c r="S9" s="15"/>
      <c r="T9" s="15"/>
      <c r="U9" s="15"/>
      <c r="V9" s="15"/>
      <c r="W9" s="15" t="str">
        <f t="shared" si="3"/>
        <v>WO</v>
      </c>
      <c r="X9" s="15"/>
      <c r="Y9" s="15"/>
      <c r="Z9" s="15"/>
      <c r="AA9" s="15"/>
      <c r="AB9" s="15"/>
      <c r="AC9" s="15"/>
      <c r="AD9" s="15" t="str">
        <f t="shared" si="3"/>
        <v>WO</v>
      </c>
      <c r="AE9" s="15"/>
      <c r="AF9" s="15"/>
      <c r="AG9" s="15"/>
      <c r="AH9" s="15"/>
      <c r="AI9" s="15"/>
      <c r="AJ9" s="15"/>
      <c r="AK9" s="15" t="str">
        <f t="shared" si="3"/>
        <v>WO</v>
      </c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September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30</v>
      </c>
      <c r="BA9" s="30">
        <f>sep_repo[[#This Row],[Days]]-sep_repo[[#This Row],[Absent]]</f>
        <v>30</v>
      </c>
      <c r="BB9" s="31">
        <v>11000</v>
      </c>
      <c r="BC9" s="32">
        <f>sep_repo[[#This Row],[Salary]]/sep_repo[[#This Row],[Days]]</f>
        <v>366.66666666666669</v>
      </c>
      <c r="BD9" s="30">
        <f>sep_repo[[#This Row],[Per Day Salary]]*sep_repo[[#This Row],[Absent]]</f>
        <v>0</v>
      </c>
      <c r="BE9" s="30">
        <f>sep_repo[[#This Row],[Salary]]-sep_repo[[#This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/>
      <c r="O10" s="15"/>
      <c r="P10" s="15" t="str">
        <f t="shared" si="3"/>
        <v>WO</v>
      </c>
      <c r="Q10" s="15"/>
      <c r="R10" s="15"/>
      <c r="S10" s="15"/>
      <c r="T10" s="15"/>
      <c r="U10" s="15"/>
      <c r="V10" s="15"/>
      <c r="W10" s="15" t="str">
        <f t="shared" si="3"/>
        <v>WO</v>
      </c>
      <c r="X10" s="15"/>
      <c r="Y10" s="15"/>
      <c r="Z10" s="15"/>
      <c r="AA10" s="15"/>
      <c r="AB10" s="15"/>
      <c r="AC10" s="15"/>
      <c r="AD10" s="15" t="str">
        <f t="shared" si="3"/>
        <v>WO</v>
      </c>
      <c r="AE10" s="15"/>
      <c r="AF10" s="15"/>
      <c r="AG10" s="15"/>
      <c r="AH10" s="15"/>
      <c r="AI10" s="15"/>
      <c r="AJ10" s="15"/>
      <c r="AK10" s="15" t="str">
        <f t="shared" si="3"/>
        <v>WO</v>
      </c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September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30</v>
      </c>
      <c r="BA10" s="30">
        <f>sep_repo[[#This Row],[Days]]-sep_repo[[#This Row],[Absent]]</f>
        <v>30</v>
      </c>
      <c r="BB10" s="31">
        <v>11000</v>
      </c>
      <c r="BC10" s="32">
        <f>sep_repo[[#This Row],[Salary]]/sep_repo[[#This Row],[Days]]</f>
        <v>366.66666666666669</v>
      </c>
      <c r="BD10" s="30">
        <f>sep_repo[[#This Row],[Per Day Salary]]*sep_repo[[#This Row],[Absent]]</f>
        <v>0</v>
      </c>
      <c r="BE10" s="30">
        <f>sep_repo[[#This Row],[Salary]]-sep_repo[[#This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/>
      <c r="O11" s="15"/>
      <c r="P11" s="15" t="str">
        <f t="shared" si="3"/>
        <v>WO</v>
      </c>
      <c r="Q11" s="15"/>
      <c r="R11" s="15"/>
      <c r="S11" s="15"/>
      <c r="T11" s="15"/>
      <c r="U11" s="15"/>
      <c r="V11" s="15"/>
      <c r="W11" s="15" t="str">
        <f t="shared" si="3"/>
        <v>WO</v>
      </c>
      <c r="X11" s="15"/>
      <c r="Y11" s="15"/>
      <c r="Z11" s="15"/>
      <c r="AA11" s="15"/>
      <c r="AB11" s="15"/>
      <c r="AC11" s="15"/>
      <c r="AD11" s="15" t="str">
        <f t="shared" si="3"/>
        <v>WO</v>
      </c>
      <c r="AE11" s="15"/>
      <c r="AF11" s="15"/>
      <c r="AG11" s="15"/>
      <c r="AH11" s="15"/>
      <c r="AI11" s="15"/>
      <c r="AJ11" s="15"/>
      <c r="AK11" s="15" t="str">
        <f t="shared" si="3"/>
        <v>WO</v>
      </c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September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30</v>
      </c>
      <c r="BA11" s="30">
        <f>sep_repo[[#This Row],[Days]]-sep_repo[[#This Row],[Absent]]</f>
        <v>30</v>
      </c>
      <c r="BB11" s="31">
        <v>11000</v>
      </c>
      <c r="BC11" s="32">
        <f>sep_repo[[#This Row],[Salary]]/sep_repo[[#This Row],[Days]]</f>
        <v>366.66666666666669</v>
      </c>
      <c r="BD11" s="30">
        <f>sep_repo[[#This Row],[Per Day Salary]]*sep_repo[[#This Row],[Absent]]</f>
        <v>0</v>
      </c>
      <c r="BE11" s="30">
        <f>sep_repo[[#This Row],[Salary]]-sep_repo[[#This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/>
      <c r="O12" s="15"/>
      <c r="P12" s="15" t="str">
        <f t="shared" si="3"/>
        <v>WO</v>
      </c>
      <c r="Q12" s="15"/>
      <c r="R12" s="15"/>
      <c r="S12" s="15"/>
      <c r="T12" s="15"/>
      <c r="U12" s="15"/>
      <c r="V12" s="15"/>
      <c r="W12" s="15" t="str">
        <f t="shared" si="3"/>
        <v>WO</v>
      </c>
      <c r="X12" s="15"/>
      <c r="Y12" s="15"/>
      <c r="Z12" s="15"/>
      <c r="AA12" s="15"/>
      <c r="AB12" s="15"/>
      <c r="AC12" s="15"/>
      <c r="AD12" s="15" t="str">
        <f t="shared" si="3"/>
        <v>WO</v>
      </c>
      <c r="AE12" s="15"/>
      <c r="AF12" s="15"/>
      <c r="AG12" s="15"/>
      <c r="AH12" s="15"/>
      <c r="AI12" s="15"/>
      <c r="AJ12" s="15"/>
      <c r="AK12" s="15" t="str">
        <f t="shared" si="3"/>
        <v>WO</v>
      </c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September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30</v>
      </c>
      <c r="BA12" s="30">
        <f>sep_repo[[#This Row],[Days]]-sep_repo[[#This Row],[Absent]]</f>
        <v>30</v>
      </c>
      <c r="BB12" s="31">
        <v>11000</v>
      </c>
      <c r="BC12" s="32">
        <f>sep_repo[[#This Row],[Salary]]/sep_repo[[#This Row],[Days]]</f>
        <v>366.66666666666669</v>
      </c>
      <c r="BD12" s="30">
        <f>sep_repo[[#This Row],[Per Day Salary]]*sep_repo[[#This Row],[Absent]]</f>
        <v>0</v>
      </c>
      <c r="BE12" s="30">
        <f>sep_repo[[#This Row],[Salary]]-sep_repo[[#This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/>
      <c r="O13" s="15"/>
      <c r="P13" s="15" t="str">
        <f t="shared" si="3"/>
        <v>WO</v>
      </c>
      <c r="Q13" s="15"/>
      <c r="R13" s="15"/>
      <c r="S13" s="15"/>
      <c r="T13" s="15"/>
      <c r="U13" s="15"/>
      <c r="V13" s="15"/>
      <c r="W13" s="15" t="str">
        <f t="shared" si="3"/>
        <v>WO</v>
      </c>
      <c r="X13" s="15"/>
      <c r="Y13" s="15"/>
      <c r="Z13" s="15"/>
      <c r="AA13" s="15"/>
      <c r="AB13" s="15"/>
      <c r="AC13" s="15"/>
      <c r="AD13" s="15" t="str">
        <f t="shared" si="3"/>
        <v>WO</v>
      </c>
      <c r="AE13" s="15"/>
      <c r="AF13" s="15"/>
      <c r="AG13" s="15"/>
      <c r="AH13" s="15"/>
      <c r="AI13" s="15"/>
      <c r="AJ13" s="15"/>
      <c r="AK13" s="15" t="str">
        <f t="shared" si="3"/>
        <v>WO</v>
      </c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September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30</v>
      </c>
      <c r="BA13" s="30">
        <f>sep_repo[[#This Row],[Days]]-sep_repo[[#This Row],[Absent]]</f>
        <v>30</v>
      </c>
      <c r="BB13" s="31">
        <v>0</v>
      </c>
      <c r="BC13" s="32">
        <f>sep_repo[[#This Row],[Salary]]/sep_repo[[#This Row],[Days]]</f>
        <v>0</v>
      </c>
      <c r="BD13" s="30">
        <f>sep_repo[[#This Row],[Per Day Salary]]*sep_repo[[#This Row],[Absent]]</f>
        <v>0</v>
      </c>
      <c r="BE13" s="30">
        <f>sep_repo[[#This Row],[Salary]]-sep_repo[[#This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/>
      <c r="O14" s="15"/>
      <c r="P14" s="15" t="str">
        <f t="shared" si="3"/>
        <v>WO</v>
      </c>
      <c r="Q14" s="15"/>
      <c r="R14" s="15"/>
      <c r="S14" s="15"/>
      <c r="T14" s="15"/>
      <c r="U14" s="15"/>
      <c r="V14" s="15"/>
      <c r="W14" s="15" t="str">
        <f t="shared" si="3"/>
        <v>WO</v>
      </c>
      <c r="X14" s="15"/>
      <c r="Y14" s="15"/>
      <c r="Z14" s="15"/>
      <c r="AA14" s="15"/>
      <c r="AB14" s="15"/>
      <c r="AC14" s="15"/>
      <c r="AD14" s="15" t="str">
        <f t="shared" si="3"/>
        <v>WO</v>
      </c>
      <c r="AE14" s="15"/>
      <c r="AF14" s="15"/>
      <c r="AG14" s="15"/>
      <c r="AH14" s="15"/>
      <c r="AI14" s="15"/>
      <c r="AJ14" s="15"/>
      <c r="AK14" s="15" t="str">
        <f t="shared" si="3"/>
        <v>WO</v>
      </c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September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30</v>
      </c>
      <c r="BA14" s="30">
        <f>sep_repo[[#This Row],[Days]]-sep_repo[[#This Row],[Absent]]</f>
        <v>30</v>
      </c>
      <c r="BB14" s="31">
        <v>0</v>
      </c>
      <c r="BC14" s="32">
        <f>sep_repo[[#This Row],[Salary]]/sep_repo[[#This Row],[Days]]</f>
        <v>0</v>
      </c>
      <c r="BD14" s="30">
        <f>sep_repo[[#This Row],[Per Day Salary]]*sep_repo[[#This Row],[Absent]]</f>
        <v>0</v>
      </c>
      <c r="BE14" s="30">
        <f>sep_repo[[#This Row],[Salary]]-sep_repo[[#This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/>
      <c r="O15" s="15"/>
      <c r="P15" s="15" t="str">
        <f t="shared" si="3"/>
        <v>WO</v>
      </c>
      <c r="Q15" s="15"/>
      <c r="R15" s="15"/>
      <c r="S15" s="15"/>
      <c r="T15" s="15"/>
      <c r="U15" s="15"/>
      <c r="V15" s="15"/>
      <c r="W15" s="15" t="str">
        <f t="shared" si="3"/>
        <v>WO</v>
      </c>
      <c r="X15" s="15"/>
      <c r="Y15" s="15"/>
      <c r="Z15" s="15"/>
      <c r="AA15" s="15"/>
      <c r="AB15" s="15"/>
      <c r="AC15" s="15"/>
      <c r="AD15" s="15" t="str">
        <f t="shared" si="3"/>
        <v>WO</v>
      </c>
      <c r="AE15" s="15"/>
      <c r="AF15" s="15"/>
      <c r="AG15" s="15"/>
      <c r="AH15" s="15"/>
      <c r="AI15" s="15"/>
      <c r="AJ15" s="15"/>
      <c r="AK15" s="15" t="str">
        <f t="shared" si="3"/>
        <v>WO</v>
      </c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September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30</v>
      </c>
      <c r="BA15" s="30">
        <f>sep_repo[[#This Row],[Days]]-sep_repo[[#This Row],[Absent]]</f>
        <v>30</v>
      </c>
      <c r="BB15" s="31">
        <v>0</v>
      </c>
      <c r="BC15" s="32">
        <f>sep_repo[[#This Row],[Salary]]/sep_repo[[#This Row],[Days]]</f>
        <v>0</v>
      </c>
      <c r="BD15" s="30">
        <f>sep_repo[[#This Row],[Per Day Salary]]*sep_repo[[#This Row],[Absent]]</f>
        <v>0</v>
      </c>
      <c r="BE15" s="30">
        <f>sep_repo[[#This Row],[Salary]]-sep_repo[[#This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/>
      <c r="O16" s="15"/>
      <c r="P16" s="15" t="str">
        <f t="shared" si="3"/>
        <v>WO</v>
      </c>
      <c r="Q16" s="15"/>
      <c r="R16" s="15"/>
      <c r="S16" s="15"/>
      <c r="T16" s="15"/>
      <c r="U16" s="15"/>
      <c r="V16" s="15"/>
      <c r="W16" s="15" t="str">
        <f t="shared" si="3"/>
        <v>WO</v>
      </c>
      <c r="X16" s="15"/>
      <c r="Y16" s="15"/>
      <c r="Z16" s="15"/>
      <c r="AA16" s="15"/>
      <c r="AB16" s="15"/>
      <c r="AC16" s="15"/>
      <c r="AD16" s="15" t="str">
        <f t="shared" si="3"/>
        <v>WO</v>
      </c>
      <c r="AE16" s="15"/>
      <c r="AF16" s="15"/>
      <c r="AG16" s="15"/>
      <c r="AH16" s="15"/>
      <c r="AI16" s="15"/>
      <c r="AJ16" s="15"/>
      <c r="AK16" s="15" t="str">
        <f t="shared" si="3"/>
        <v>WO</v>
      </c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September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30</v>
      </c>
      <c r="BA16" s="30">
        <f>sep_repo[[#This Row],[Days]]-sep_repo[[#This Row],[Absent]]</f>
        <v>30</v>
      </c>
      <c r="BB16" s="31">
        <v>0</v>
      </c>
      <c r="BC16" s="32">
        <f>sep_repo[[#This Row],[Salary]]/sep_repo[[#This Row],[Days]]</f>
        <v>0</v>
      </c>
      <c r="BD16" s="30">
        <f>sep_repo[[#This Row],[Per Day Salary]]*sep_repo[[#This Row],[Absent]]</f>
        <v>0</v>
      </c>
      <c r="BE16" s="30">
        <f>sep_repo[[#This Row],[Salary]]-sep_repo[[#This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/>
      <c r="O17" s="15"/>
      <c r="P17" s="15" t="str">
        <f t="shared" si="3"/>
        <v>WO</v>
      </c>
      <c r="Q17" s="15"/>
      <c r="R17" s="15"/>
      <c r="S17" s="15"/>
      <c r="T17" s="15"/>
      <c r="U17" s="15"/>
      <c r="V17" s="15"/>
      <c r="W17" s="15" t="str">
        <f t="shared" si="3"/>
        <v>WO</v>
      </c>
      <c r="X17" s="15"/>
      <c r="Y17" s="15"/>
      <c r="Z17" s="15"/>
      <c r="AA17" s="15"/>
      <c r="AB17" s="15"/>
      <c r="AC17" s="15"/>
      <c r="AD17" s="15" t="str">
        <f t="shared" ref="AD17:AK34" si="11">IF(AD$7="Sun","WO","")</f>
        <v>WO</v>
      </c>
      <c r="AE17" s="15"/>
      <c r="AF17" s="15"/>
      <c r="AG17" s="15"/>
      <c r="AH17" s="15"/>
      <c r="AI17" s="15"/>
      <c r="AJ17" s="15"/>
      <c r="AK17" s="15" t="str">
        <f t="shared" si="11"/>
        <v>WO</v>
      </c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September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30</v>
      </c>
      <c r="BA17" s="30">
        <f>sep_repo[[#This Row],[Days]]-sep_repo[[#This Row],[Absent]]</f>
        <v>30</v>
      </c>
      <c r="BB17" s="31">
        <v>0</v>
      </c>
      <c r="BC17" s="32">
        <f>sep_repo[[#This Row],[Salary]]/sep_repo[[#This Row],[Days]]</f>
        <v>0</v>
      </c>
      <c r="BD17" s="30">
        <f>sep_repo[[#This Row],[Per Day Salary]]*sep_repo[[#This Row],[Absent]]</f>
        <v>0</v>
      </c>
      <c r="BE17" s="30">
        <f>sep_repo[[#This Row],[Salary]]-sep_repo[[#This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/>
      <c r="O18" s="15"/>
      <c r="P18" s="15" t="str">
        <f t="shared" ref="P18:W33" si="12">IF(P$7="Sun","WO","")</f>
        <v>WO</v>
      </c>
      <c r="Q18" s="15"/>
      <c r="R18" s="15"/>
      <c r="S18" s="15"/>
      <c r="T18" s="15"/>
      <c r="U18" s="15"/>
      <c r="V18" s="15"/>
      <c r="W18" s="15" t="str">
        <f t="shared" si="12"/>
        <v>WO</v>
      </c>
      <c r="X18" s="15"/>
      <c r="Y18" s="15"/>
      <c r="Z18" s="15"/>
      <c r="AA18" s="15"/>
      <c r="AB18" s="15"/>
      <c r="AC18" s="15"/>
      <c r="AD18" s="15" t="str">
        <f t="shared" si="11"/>
        <v>WO</v>
      </c>
      <c r="AE18" s="15"/>
      <c r="AF18" s="15"/>
      <c r="AG18" s="15"/>
      <c r="AH18" s="15"/>
      <c r="AI18" s="15"/>
      <c r="AJ18" s="15"/>
      <c r="AK18" s="15" t="str">
        <f t="shared" si="11"/>
        <v>WO</v>
      </c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September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30</v>
      </c>
      <c r="BA18" s="30">
        <f>sep_repo[[#This Row],[Days]]-sep_repo[[#This Row],[Absent]]</f>
        <v>30</v>
      </c>
      <c r="BB18" s="31">
        <v>0</v>
      </c>
      <c r="BC18" s="32">
        <f>sep_repo[[#This Row],[Salary]]/sep_repo[[#This Row],[Days]]</f>
        <v>0</v>
      </c>
      <c r="BD18" s="30">
        <f>sep_repo[[#This Row],[Per Day Salary]]*sep_repo[[#This Row],[Absent]]</f>
        <v>0</v>
      </c>
      <c r="BE18" s="30">
        <f>sep_repo[[#This Row],[Salary]]-sep_repo[[#This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/>
      <c r="O19" s="15"/>
      <c r="P19" s="15" t="str">
        <f t="shared" si="12"/>
        <v>WO</v>
      </c>
      <c r="Q19" s="15"/>
      <c r="R19" s="15"/>
      <c r="S19" s="15"/>
      <c r="T19" s="15"/>
      <c r="U19" s="15"/>
      <c r="V19" s="15"/>
      <c r="W19" s="15" t="str">
        <f t="shared" si="12"/>
        <v>WO</v>
      </c>
      <c r="X19" s="15"/>
      <c r="Y19" s="15"/>
      <c r="Z19" s="15"/>
      <c r="AA19" s="15"/>
      <c r="AB19" s="15"/>
      <c r="AC19" s="15"/>
      <c r="AD19" s="15" t="str">
        <f t="shared" si="11"/>
        <v>WO</v>
      </c>
      <c r="AE19" s="15"/>
      <c r="AF19" s="15"/>
      <c r="AG19" s="15"/>
      <c r="AH19" s="15"/>
      <c r="AI19" s="15"/>
      <c r="AJ19" s="15"/>
      <c r="AK19" s="15" t="str">
        <f t="shared" si="11"/>
        <v>WO</v>
      </c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September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30</v>
      </c>
      <c r="BA19" s="30">
        <f>sep_repo[[#This Row],[Days]]-sep_repo[[#This Row],[Absent]]</f>
        <v>30</v>
      </c>
      <c r="BB19" s="31">
        <v>0</v>
      </c>
      <c r="BC19" s="32">
        <f>sep_repo[[#This Row],[Salary]]/sep_repo[[#This Row],[Days]]</f>
        <v>0</v>
      </c>
      <c r="BD19" s="30">
        <f>sep_repo[[#This Row],[Per Day Salary]]*sep_repo[[#This Row],[Absent]]</f>
        <v>0</v>
      </c>
      <c r="BE19" s="30">
        <f>sep_repo[[#This Row],[Salary]]-sep_repo[[#This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/>
      <c r="O20" s="15"/>
      <c r="P20" s="15" t="str">
        <f t="shared" si="12"/>
        <v>WO</v>
      </c>
      <c r="Q20" s="15"/>
      <c r="R20" s="15"/>
      <c r="S20" s="15"/>
      <c r="T20" s="15"/>
      <c r="U20" s="15"/>
      <c r="V20" s="15"/>
      <c r="W20" s="15" t="str">
        <f t="shared" si="12"/>
        <v>WO</v>
      </c>
      <c r="X20" s="15"/>
      <c r="Y20" s="15"/>
      <c r="Z20" s="15"/>
      <c r="AA20" s="15"/>
      <c r="AB20" s="15"/>
      <c r="AC20" s="15"/>
      <c r="AD20" s="15" t="str">
        <f t="shared" si="11"/>
        <v>WO</v>
      </c>
      <c r="AE20" s="15"/>
      <c r="AF20" s="15"/>
      <c r="AG20" s="15"/>
      <c r="AH20" s="15"/>
      <c r="AI20" s="15"/>
      <c r="AJ20" s="15"/>
      <c r="AK20" s="15" t="str">
        <f t="shared" si="11"/>
        <v>WO</v>
      </c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September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30</v>
      </c>
      <c r="BA20" s="30">
        <f>sep_repo[[#This Row],[Days]]-sep_repo[[#This Row],[Absent]]</f>
        <v>30</v>
      </c>
      <c r="BB20" s="31">
        <v>0</v>
      </c>
      <c r="BC20" s="32">
        <f>sep_repo[[#This Row],[Salary]]/sep_repo[[#This Row],[Days]]</f>
        <v>0</v>
      </c>
      <c r="BD20" s="30">
        <f>sep_repo[[#This Row],[Per Day Salary]]*sep_repo[[#This Row],[Absent]]</f>
        <v>0</v>
      </c>
      <c r="BE20" s="30">
        <f>sep_repo[[#This Row],[Salary]]-sep_repo[[#This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/>
      <c r="O21" s="15"/>
      <c r="P21" s="15" t="str">
        <f t="shared" si="12"/>
        <v>WO</v>
      </c>
      <c r="Q21" s="15"/>
      <c r="R21" s="15"/>
      <c r="S21" s="15"/>
      <c r="T21" s="15"/>
      <c r="U21" s="15"/>
      <c r="V21" s="15"/>
      <c r="W21" s="15" t="str">
        <f t="shared" si="12"/>
        <v>WO</v>
      </c>
      <c r="X21" s="15"/>
      <c r="Y21" s="15"/>
      <c r="Z21" s="15"/>
      <c r="AA21" s="15"/>
      <c r="AB21" s="15"/>
      <c r="AC21" s="15"/>
      <c r="AD21" s="15" t="str">
        <f t="shared" si="11"/>
        <v>WO</v>
      </c>
      <c r="AE21" s="15"/>
      <c r="AF21" s="15"/>
      <c r="AG21" s="15"/>
      <c r="AH21" s="15"/>
      <c r="AI21" s="15"/>
      <c r="AJ21" s="15"/>
      <c r="AK21" s="15" t="str">
        <f t="shared" si="11"/>
        <v>WO</v>
      </c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September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30</v>
      </c>
      <c r="BA21" s="30">
        <f>sep_repo[[#This Row],[Days]]-sep_repo[[#This Row],[Absent]]</f>
        <v>30</v>
      </c>
      <c r="BB21" s="31">
        <v>0</v>
      </c>
      <c r="BC21" s="32">
        <f>sep_repo[[#This Row],[Salary]]/sep_repo[[#This Row],[Days]]</f>
        <v>0</v>
      </c>
      <c r="BD21" s="30">
        <f>sep_repo[[#This Row],[Per Day Salary]]*sep_repo[[#This Row],[Absent]]</f>
        <v>0</v>
      </c>
      <c r="BE21" s="30">
        <f>sep_repo[[#This Row],[Salary]]-sep_repo[[#This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/>
      <c r="O22" s="15"/>
      <c r="P22" s="15" t="str">
        <f t="shared" si="12"/>
        <v>WO</v>
      </c>
      <c r="Q22" s="15"/>
      <c r="R22" s="15"/>
      <c r="S22" s="15"/>
      <c r="T22" s="15"/>
      <c r="U22" s="15"/>
      <c r="V22" s="15"/>
      <c r="W22" s="15" t="str">
        <f t="shared" si="12"/>
        <v>WO</v>
      </c>
      <c r="X22" s="15"/>
      <c r="Y22" s="15"/>
      <c r="Z22" s="15"/>
      <c r="AA22" s="15"/>
      <c r="AB22" s="15"/>
      <c r="AC22" s="15"/>
      <c r="AD22" s="15" t="str">
        <f t="shared" si="11"/>
        <v>WO</v>
      </c>
      <c r="AE22" s="15"/>
      <c r="AF22" s="15"/>
      <c r="AG22" s="15"/>
      <c r="AH22" s="15"/>
      <c r="AI22" s="15"/>
      <c r="AJ22" s="15"/>
      <c r="AK22" s="15" t="str">
        <f t="shared" si="11"/>
        <v>WO</v>
      </c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September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30</v>
      </c>
      <c r="BA22" s="30">
        <f>sep_repo[[#This Row],[Days]]-sep_repo[[#This Row],[Absent]]</f>
        <v>30</v>
      </c>
      <c r="BB22" s="31">
        <v>0</v>
      </c>
      <c r="BC22" s="32">
        <f>sep_repo[[#This Row],[Salary]]/sep_repo[[#This Row],[Days]]</f>
        <v>0</v>
      </c>
      <c r="BD22" s="30">
        <f>sep_repo[[#This Row],[Per Day Salary]]*sep_repo[[#This Row],[Absent]]</f>
        <v>0</v>
      </c>
      <c r="BE22" s="30">
        <f>sep_repo[[#This Row],[Salary]]-sep_repo[[#This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/>
      <c r="O23" s="15"/>
      <c r="P23" s="15" t="str">
        <f t="shared" si="12"/>
        <v>WO</v>
      </c>
      <c r="Q23" s="15"/>
      <c r="R23" s="15"/>
      <c r="S23" s="15"/>
      <c r="T23" s="15"/>
      <c r="U23" s="15"/>
      <c r="V23" s="15"/>
      <c r="W23" s="15" t="str">
        <f t="shared" si="12"/>
        <v>WO</v>
      </c>
      <c r="X23" s="15"/>
      <c r="Y23" s="15"/>
      <c r="Z23" s="15"/>
      <c r="AA23" s="15"/>
      <c r="AB23" s="15"/>
      <c r="AC23" s="15"/>
      <c r="AD23" s="15" t="str">
        <f t="shared" si="11"/>
        <v>WO</v>
      </c>
      <c r="AE23" s="15"/>
      <c r="AF23" s="15"/>
      <c r="AG23" s="15"/>
      <c r="AH23" s="15"/>
      <c r="AI23" s="15"/>
      <c r="AJ23" s="15"/>
      <c r="AK23" s="15" t="str">
        <f t="shared" si="11"/>
        <v>WO</v>
      </c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September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30</v>
      </c>
      <c r="BA23" s="30">
        <f>sep_repo[[#This Row],[Days]]-sep_repo[[#This Row],[Absent]]</f>
        <v>30</v>
      </c>
      <c r="BB23" s="31">
        <v>0</v>
      </c>
      <c r="BC23" s="32">
        <f>sep_repo[[#This Row],[Salary]]/sep_repo[[#This Row],[Days]]</f>
        <v>0</v>
      </c>
      <c r="BD23" s="30">
        <f>sep_repo[[#This Row],[Per Day Salary]]*sep_repo[[#This Row],[Absent]]</f>
        <v>0</v>
      </c>
      <c r="BE23" s="30">
        <f>sep_repo[[#This Row],[Salary]]-sep_repo[[#This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/>
      <c r="O24" s="15"/>
      <c r="P24" s="15" t="str">
        <f t="shared" si="12"/>
        <v>WO</v>
      </c>
      <c r="Q24" s="15"/>
      <c r="R24" s="15"/>
      <c r="S24" s="15"/>
      <c r="T24" s="15"/>
      <c r="U24" s="15"/>
      <c r="V24" s="15"/>
      <c r="W24" s="15" t="str">
        <f t="shared" si="12"/>
        <v>WO</v>
      </c>
      <c r="X24" s="15"/>
      <c r="Y24" s="15"/>
      <c r="Z24" s="15"/>
      <c r="AA24" s="15"/>
      <c r="AB24" s="15"/>
      <c r="AC24" s="15"/>
      <c r="AD24" s="15" t="str">
        <f t="shared" si="11"/>
        <v>WO</v>
      </c>
      <c r="AE24" s="15"/>
      <c r="AF24" s="15"/>
      <c r="AG24" s="15"/>
      <c r="AH24" s="15"/>
      <c r="AI24" s="15"/>
      <c r="AJ24" s="15"/>
      <c r="AK24" s="15" t="str">
        <f t="shared" si="11"/>
        <v>WO</v>
      </c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September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30</v>
      </c>
      <c r="BA24" s="30">
        <f>sep_repo[[#This Row],[Days]]-sep_repo[[#This Row],[Absent]]</f>
        <v>30</v>
      </c>
      <c r="BB24" s="31">
        <v>0</v>
      </c>
      <c r="BC24" s="32">
        <f>sep_repo[[#This Row],[Salary]]/sep_repo[[#This Row],[Days]]</f>
        <v>0</v>
      </c>
      <c r="BD24" s="30">
        <f>sep_repo[[#This Row],[Per Day Salary]]*sep_repo[[#This Row],[Absent]]</f>
        <v>0</v>
      </c>
      <c r="BE24" s="30">
        <f>sep_repo[[#This Row],[Salary]]-sep_repo[[#This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/>
      <c r="O25" s="15"/>
      <c r="P25" s="15" t="str">
        <f t="shared" si="12"/>
        <v>WO</v>
      </c>
      <c r="Q25" s="15"/>
      <c r="R25" s="15"/>
      <c r="S25" s="15"/>
      <c r="T25" s="15"/>
      <c r="U25" s="15"/>
      <c r="V25" s="15"/>
      <c r="W25" s="15" t="str">
        <f t="shared" si="12"/>
        <v>WO</v>
      </c>
      <c r="X25" s="15"/>
      <c r="Y25" s="15"/>
      <c r="Z25" s="15"/>
      <c r="AA25" s="15"/>
      <c r="AB25" s="15"/>
      <c r="AC25" s="15"/>
      <c r="AD25" s="15" t="str">
        <f t="shared" si="11"/>
        <v>WO</v>
      </c>
      <c r="AE25" s="15"/>
      <c r="AF25" s="15"/>
      <c r="AG25" s="15"/>
      <c r="AH25" s="15"/>
      <c r="AI25" s="15"/>
      <c r="AJ25" s="15"/>
      <c r="AK25" s="15" t="str">
        <f t="shared" si="11"/>
        <v>WO</v>
      </c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September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30</v>
      </c>
      <c r="BA25" s="30">
        <f>sep_repo[[#This Row],[Days]]-sep_repo[[#This Row],[Absent]]</f>
        <v>30</v>
      </c>
      <c r="BB25" s="31">
        <v>0</v>
      </c>
      <c r="BC25" s="32">
        <f>sep_repo[[#This Row],[Salary]]/sep_repo[[#This Row],[Days]]</f>
        <v>0</v>
      </c>
      <c r="BD25" s="30">
        <f>sep_repo[[#This Row],[Per Day Salary]]*sep_repo[[#This Row],[Absent]]</f>
        <v>0</v>
      </c>
      <c r="BE25" s="30">
        <f>sep_repo[[#This Row],[Salary]]-sep_repo[[#This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/>
      <c r="O26" s="15"/>
      <c r="P26" s="15" t="str">
        <f t="shared" si="12"/>
        <v>WO</v>
      </c>
      <c r="Q26" s="15"/>
      <c r="R26" s="15"/>
      <c r="S26" s="15"/>
      <c r="T26" s="15"/>
      <c r="U26" s="15"/>
      <c r="V26" s="15"/>
      <c r="W26" s="15" t="str">
        <f t="shared" si="12"/>
        <v>WO</v>
      </c>
      <c r="X26" s="15"/>
      <c r="Y26" s="15"/>
      <c r="Z26" s="15"/>
      <c r="AA26" s="15"/>
      <c r="AB26" s="15"/>
      <c r="AC26" s="15"/>
      <c r="AD26" s="15" t="str">
        <f t="shared" si="11"/>
        <v>WO</v>
      </c>
      <c r="AE26" s="15"/>
      <c r="AF26" s="15"/>
      <c r="AG26" s="15"/>
      <c r="AH26" s="15"/>
      <c r="AI26" s="15"/>
      <c r="AJ26" s="15"/>
      <c r="AK26" s="15" t="str">
        <f t="shared" si="11"/>
        <v>WO</v>
      </c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September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30</v>
      </c>
      <c r="BA26" s="30">
        <f>sep_repo[[#This Row],[Days]]-sep_repo[[#This Row],[Absent]]</f>
        <v>30</v>
      </c>
      <c r="BB26" s="31">
        <v>0</v>
      </c>
      <c r="BC26" s="32">
        <f>sep_repo[[#This Row],[Salary]]/sep_repo[[#This Row],[Days]]</f>
        <v>0</v>
      </c>
      <c r="BD26" s="30">
        <f>sep_repo[[#This Row],[Per Day Salary]]*sep_repo[[#This Row],[Absent]]</f>
        <v>0</v>
      </c>
      <c r="BE26" s="30">
        <f>sep_repo[[#This Row],[Salary]]-sep_repo[[#This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/>
      <c r="O27" s="15"/>
      <c r="P27" s="15" t="str">
        <f t="shared" si="12"/>
        <v>WO</v>
      </c>
      <c r="Q27" s="15"/>
      <c r="R27" s="15"/>
      <c r="S27" s="15"/>
      <c r="T27" s="15"/>
      <c r="U27" s="15"/>
      <c r="V27" s="15"/>
      <c r="W27" s="15" t="str">
        <f t="shared" si="12"/>
        <v>WO</v>
      </c>
      <c r="X27" s="15"/>
      <c r="Y27" s="15"/>
      <c r="Z27" s="15"/>
      <c r="AA27" s="15"/>
      <c r="AB27" s="15"/>
      <c r="AC27" s="15"/>
      <c r="AD27" s="15" t="str">
        <f t="shared" si="11"/>
        <v>WO</v>
      </c>
      <c r="AE27" s="15"/>
      <c r="AF27" s="15"/>
      <c r="AG27" s="15"/>
      <c r="AH27" s="15"/>
      <c r="AI27" s="15"/>
      <c r="AJ27" s="15"/>
      <c r="AK27" s="15" t="str">
        <f t="shared" si="11"/>
        <v>WO</v>
      </c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September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30</v>
      </c>
      <c r="BA27" s="30">
        <f>sep_repo[[#This Row],[Days]]-sep_repo[[#This Row],[Absent]]</f>
        <v>30</v>
      </c>
      <c r="BB27" s="31">
        <v>0</v>
      </c>
      <c r="BC27" s="32">
        <f>sep_repo[[#This Row],[Salary]]/sep_repo[[#This Row],[Days]]</f>
        <v>0</v>
      </c>
      <c r="BD27" s="30">
        <f>sep_repo[[#This Row],[Per Day Salary]]*sep_repo[[#This Row],[Absent]]</f>
        <v>0</v>
      </c>
      <c r="BE27" s="30">
        <f>sep_repo[[#This Row],[Salary]]-sep_repo[[#This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/>
      <c r="O28" s="15"/>
      <c r="P28" s="15" t="str">
        <f t="shared" si="12"/>
        <v>WO</v>
      </c>
      <c r="Q28" s="15"/>
      <c r="R28" s="15"/>
      <c r="S28" s="15"/>
      <c r="T28" s="15"/>
      <c r="U28" s="15"/>
      <c r="V28" s="15"/>
      <c r="W28" s="15" t="str">
        <f t="shared" si="12"/>
        <v>WO</v>
      </c>
      <c r="X28" s="15"/>
      <c r="Y28" s="15"/>
      <c r="Z28" s="15"/>
      <c r="AA28" s="15"/>
      <c r="AB28" s="15"/>
      <c r="AC28" s="15"/>
      <c r="AD28" s="15" t="str">
        <f t="shared" si="11"/>
        <v>WO</v>
      </c>
      <c r="AE28" s="15"/>
      <c r="AF28" s="15"/>
      <c r="AG28" s="15"/>
      <c r="AH28" s="15"/>
      <c r="AI28" s="15"/>
      <c r="AJ28" s="15"/>
      <c r="AK28" s="15" t="str">
        <f t="shared" si="11"/>
        <v>WO</v>
      </c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September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30</v>
      </c>
      <c r="BA28" s="30">
        <f>sep_repo[[#This Row],[Days]]-sep_repo[[#This Row],[Absent]]</f>
        <v>30</v>
      </c>
      <c r="BB28" s="31">
        <v>0</v>
      </c>
      <c r="BC28" s="32">
        <f>sep_repo[[#This Row],[Salary]]/sep_repo[[#This Row],[Days]]</f>
        <v>0</v>
      </c>
      <c r="BD28" s="30">
        <f>sep_repo[[#This Row],[Per Day Salary]]*sep_repo[[#This Row],[Absent]]</f>
        <v>0</v>
      </c>
      <c r="BE28" s="30">
        <f>sep_repo[[#This Row],[Salary]]-sep_repo[[#This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/>
      <c r="O29" s="15"/>
      <c r="P29" s="15" t="str">
        <f t="shared" si="12"/>
        <v>WO</v>
      </c>
      <c r="Q29" s="15"/>
      <c r="R29" s="15"/>
      <c r="S29" s="15"/>
      <c r="T29" s="15"/>
      <c r="U29" s="15"/>
      <c r="V29" s="15"/>
      <c r="W29" s="15" t="str">
        <f t="shared" si="12"/>
        <v>WO</v>
      </c>
      <c r="X29" s="15"/>
      <c r="Y29" s="15"/>
      <c r="Z29" s="15"/>
      <c r="AA29" s="15"/>
      <c r="AB29" s="15"/>
      <c r="AC29" s="15"/>
      <c r="AD29" s="15" t="str">
        <f t="shared" si="11"/>
        <v>WO</v>
      </c>
      <c r="AE29" s="15"/>
      <c r="AF29" s="15"/>
      <c r="AG29" s="15"/>
      <c r="AH29" s="15"/>
      <c r="AI29" s="15"/>
      <c r="AJ29" s="15"/>
      <c r="AK29" s="15" t="str">
        <f t="shared" si="11"/>
        <v>WO</v>
      </c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September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30</v>
      </c>
      <c r="BA29" s="30">
        <f>sep_repo[[#This Row],[Days]]-sep_repo[[#This Row],[Absent]]</f>
        <v>30</v>
      </c>
      <c r="BB29" s="31">
        <v>0</v>
      </c>
      <c r="BC29" s="32">
        <f>sep_repo[[#This Row],[Salary]]/sep_repo[[#This Row],[Days]]</f>
        <v>0</v>
      </c>
      <c r="BD29" s="30">
        <f>sep_repo[[#This Row],[Per Day Salary]]*sep_repo[[#This Row],[Absent]]</f>
        <v>0</v>
      </c>
      <c r="BE29" s="30">
        <f>sep_repo[[#This Row],[Salary]]-sep_repo[[#This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/>
      <c r="O30" s="15"/>
      <c r="P30" s="15" t="str">
        <f t="shared" si="12"/>
        <v>WO</v>
      </c>
      <c r="Q30" s="15"/>
      <c r="R30" s="15"/>
      <c r="S30" s="15"/>
      <c r="T30" s="15"/>
      <c r="U30" s="15"/>
      <c r="V30" s="15"/>
      <c r="W30" s="15" t="str">
        <f t="shared" si="12"/>
        <v>WO</v>
      </c>
      <c r="X30" s="15"/>
      <c r="Y30" s="15"/>
      <c r="Z30" s="15"/>
      <c r="AA30" s="15"/>
      <c r="AB30" s="15"/>
      <c r="AC30" s="15"/>
      <c r="AD30" s="15" t="str">
        <f t="shared" si="11"/>
        <v>WO</v>
      </c>
      <c r="AE30" s="15"/>
      <c r="AF30" s="15"/>
      <c r="AG30" s="15"/>
      <c r="AH30" s="15"/>
      <c r="AI30" s="15"/>
      <c r="AJ30" s="15"/>
      <c r="AK30" s="15" t="str">
        <f t="shared" si="11"/>
        <v>WO</v>
      </c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September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30</v>
      </c>
      <c r="BA30" s="30">
        <f>sep_repo[[#This Row],[Days]]-sep_repo[[#This Row],[Absent]]</f>
        <v>30</v>
      </c>
      <c r="BB30" s="31">
        <v>0</v>
      </c>
      <c r="BC30" s="32">
        <f>sep_repo[[#This Row],[Salary]]/sep_repo[[#This Row],[Days]]</f>
        <v>0</v>
      </c>
      <c r="BD30" s="30">
        <f>sep_repo[[#This Row],[Per Day Salary]]*sep_repo[[#This Row],[Absent]]</f>
        <v>0</v>
      </c>
      <c r="BE30" s="30">
        <f>sep_repo[[#This Row],[Salary]]-sep_repo[[#This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/>
      <c r="O31" s="15"/>
      <c r="P31" s="15" t="str">
        <f t="shared" si="12"/>
        <v>WO</v>
      </c>
      <c r="Q31" s="15"/>
      <c r="R31" s="15"/>
      <c r="S31" s="15"/>
      <c r="T31" s="15"/>
      <c r="U31" s="15"/>
      <c r="V31" s="15"/>
      <c r="W31" s="15" t="str">
        <f t="shared" si="12"/>
        <v>WO</v>
      </c>
      <c r="X31" s="15"/>
      <c r="Y31" s="15"/>
      <c r="Z31" s="15"/>
      <c r="AA31" s="15"/>
      <c r="AB31" s="15"/>
      <c r="AC31" s="15"/>
      <c r="AD31" s="15" t="str">
        <f t="shared" si="11"/>
        <v>WO</v>
      </c>
      <c r="AE31" s="15"/>
      <c r="AF31" s="15"/>
      <c r="AG31" s="15"/>
      <c r="AH31" s="15"/>
      <c r="AI31" s="15"/>
      <c r="AJ31" s="15"/>
      <c r="AK31" s="15" t="str">
        <f t="shared" si="11"/>
        <v>WO</v>
      </c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September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30</v>
      </c>
      <c r="BA31" s="30">
        <f>sep_repo[[#This Row],[Days]]-sep_repo[[#This Row],[Absent]]</f>
        <v>30</v>
      </c>
      <c r="BB31" s="31">
        <v>0</v>
      </c>
      <c r="BC31" s="32">
        <f>sep_repo[[#This Row],[Salary]]/sep_repo[[#This Row],[Days]]</f>
        <v>0</v>
      </c>
      <c r="BD31" s="30">
        <f>sep_repo[[#This Row],[Per Day Salary]]*sep_repo[[#This Row],[Absent]]</f>
        <v>0</v>
      </c>
      <c r="BE31" s="30">
        <f>sep_repo[[#This Row],[Salary]]-sep_repo[[#This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/>
      <c r="O32" s="15"/>
      <c r="P32" s="15" t="str">
        <f t="shared" si="12"/>
        <v>WO</v>
      </c>
      <c r="Q32" s="15"/>
      <c r="R32" s="15"/>
      <c r="S32" s="15"/>
      <c r="T32" s="15"/>
      <c r="U32" s="15"/>
      <c r="V32" s="15"/>
      <c r="W32" s="15" t="str">
        <f t="shared" si="12"/>
        <v>WO</v>
      </c>
      <c r="X32" s="15"/>
      <c r="Y32" s="15"/>
      <c r="Z32" s="15"/>
      <c r="AA32" s="15"/>
      <c r="AB32" s="15"/>
      <c r="AC32" s="15"/>
      <c r="AD32" s="15" t="str">
        <f t="shared" si="11"/>
        <v>WO</v>
      </c>
      <c r="AE32" s="15"/>
      <c r="AF32" s="15"/>
      <c r="AG32" s="15"/>
      <c r="AH32" s="15"/>
      <c r="AI32" s="15"/>
      <c r="AJ32" s="15"/>
      <c r="AK32" s="15" t="str">
        <f t="shared" si="11"/>
        <v>WO</v>
      </c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September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30</v>
      </c>
      <c r="BA32" s="30">
        <f>sep_repo[[#This Row],[Days]]-sep_repo[[#This Row],[Absent]]</f>
        <v>30</v>
      </c>
      <c r="BB32" s="31">
        <v>0</v>
      </c>
      <c r="BC32" s="32">
        <f>sep_repo[[#This Row],[Salary]]/sep_repo[[#This Row],[Days]]</f>
        <v>0</v>
      </c>
      <c r="BD32" s="30">
        <f>sep_repo[[#This Row],[Per Day Salary]]*sep_repo[[#This Row],[Absent]]</f>
        <v>0</v>
      </c>
      <c r="BE32" s="30">
        <f>sep_repo[[#This Row],[Salary]]-sep_repo[[#This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/>
      <c r="O33" s="15"/>
      <c r="P33" s="15" t="str">
        <f t="shared" si="12"/>
        <v>WO</v>
      </c>
      <c r="Q33" s="15"/>
      <c r="R33" s="15"/>
      <c r="S33" s="15"/>
      <c r="T33" s="15"/>
      <c r="U33" s="15"/>
      <c r="V33" s="15"/>
      <c r="W33" s="15" t="str">
        <f t="shared" ref="W33:AD38" si="13">IF(W$7="Sun","WO","")</f>
        <v>WO</v>
      </c>
      <c r="X33" s="15"/>
      <c r="Y33" s="15"/>
      <c r="Z33" s="15"/>
      <c r="AA33" s="15"/>
      <c r="AB33" s="15"/>
      <c r="AC33" s="15"/>
      <c r="AD33" s="15" t="str">
        <f t="shared" si="13"/>
        <v>WO</v>
      </c>
      <c r="AE33" s="15"/>
      <c r="AF33" s="15"/>
      <c r="AG33" s="15"/>
      <c r="AH33" s="15"/>
      <c r="AI33" s="15"/>
      <c r="AJ33" s="15"/>
      <c r="AK33" s="15" t="str">
        <f t="shared" si="11"/>
        <v>WO</v>
      </c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September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30</v>
      </c>
      <c r="BA33" s="30">
        <f>sep_repo[[#This Row],[Days]]-sep_repo[[#This Row],[Absent]]</f>
        <v>30</v>
      </c>
      <c r="BB33" s="31">
        <v>0</v>
      </c>
      <c r="BC33" s="32">
        <f>sep_repo[[#This Row],[Salary]]/sep_repo[[#This Row],[Days]]</f>
        <v>0</v>
      </c>
      <c r="BD33" s="30">
        <f>sep_repo[[#This Row],[Per Day Salary]]*sep_repo[[#This Row],[Absent]]</f>
        <v>0</v>
      </c>
      <c r="BE33" s="30">
        <f>sep_repo[[#This Row],[Salary]]-sep_repo[[#This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/>
      <c r="O34" s="15"/>
      <c r="P34" s="15" t="str">
        <f t="shared" ref="P34:W38" si="14">IF(P$7="Sun","WO","")</f>
        <v>WO</v>
      </c>
      <c r="Q34" s="15"/>
      <c r="R34" s="15"/>
      <c r="S34" s="15"/>
      <c r="T34" s="15"/>
      <c r="U34" s="15"/>
      <c r="V34" s="15"/>
      <c r="W34" s="15" t="str">
        <f t="shared" si="14"/>
        <v>WO</v>
      </c>
      <c r="X34" s="15"/>
      <c r="Y34" s="15"/>
      <c r="Z34" s="15"/>
      <c r="AA34" s="15"/>
      <c r="AB34" s="15"/>
      <c r="AC34" s="15"/>
      <c r="AD34" s="15" t="str">
        <f t="shared" si="13"/>
        <v>WO</v>
      </c>
      <c r="AE34" s="15"/>
      <c r="AF34" s="15"/>
      <c r="AG34" s="15"/>
      <c r="AH34" s="15"/>
      <c r="AI34" s="15"/>
      <c r="AJ34" s="15"/>
      <c r="AK34" s="15" t="str">
        <f t="shared" si="11"/>
        <v>WO</v>
      </c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September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30</v>
      </c>
      <c r="BA34" s="30">
        <f>sep_repo[[#This Row],[Days]]-sep_repo[[#This Row],[Absent]]</f>
        <v>30</v>
      </c>
      <c r="BB34" s="31">
        <v>0</v>
      </c>
      <c r="BC34" s="32">
        <f>sep_repo[[#This Row],[Salary]]/sep_repo[[#This Row],[Days]]</f>
        <v>0</v>
      </c>
      <c r="BD34" s="30">
        <f>sep_repo[[#This Row],[Per Day Salary]]*sep_repo[[#This Row],[Absent]]</f>
        <v>0</v>
      </c>
      <c r="BE34" s="30">
        <f>sep_repo[[#This Row],[Salary]]-sep_repo[[#This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/>
      <c r="O35" s="15"/>
      <c r="P35" s="15" t="str">
        <f t="shared" si="14"/>
        <v>WO</v>
      </c>
      <c r="Q35" s="15"/>
      <c r="R35" s="15"/>
      <c r="S35" s="15"/>
      <c r="T35" s="15"/>
      <c r="U35" s="15"/>
      <c r="V35" s="15"/>
      <c r="W35" s="15" t="str">
        <f t="shared" si="14"/>
        <v>WO</v>
      </c>
      <c r="X35" s="15"/>
      <c r="Y35" s="15"/>
      <c r="Z35" s="15"/>
      <c r="AA35" s="15"/>
      <c r="AB35" s="15"/>
      <c r="AC35" s="15"/>
      <c r="AD35" s="15" t="str">
        <f t="shared" si="13"/>
        <v>WO</v>
      </c>
      <c r="AE35" s="15"/>
      <c r="AF35" s="15"/>
      <c r="AG35" s="15"/>
      <c r="AH35" s="15"/>
      <c r="AI35" s="15"/>
      <c r="AJ35" s="15"/>
      <c r="AK35" s="15" t="str">
        <f t="shared" ref="AK35:AK38" si="15">IF(AK$7="Sun","WO","")</f>
        <v>WO</v>
      </c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September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30</v>
      </c>
      <c r="BA35" s="30">
        <f>sep_repo[[#This Row],[Days]]-sep_repo[[#This Row],[Absent]]</f>
        <v>30</v>
      </c>
      <c r="BB35" s="31">
        <v>0</v>
      </c>
      <c r="BC35" s="32">
        <f>sep_repo[[#This Row],[Salary]]/sep_repo[[#This Row],[Days]]</f>
        <v>0</v>
      </c>
      <c r="BD35" s="30">
        <f>sep_repo[[#This Row],[Per Day Salary]]*sep_repo[[#This Row],[Absent]]</f>
        <v>0</v>
      </c>
      <c r="BE35" s="30">
        <f>sep_repo[[#This Row],[Salary]]-sep_repo[[#This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/>
      <c r="O36" s="15"/>
      <c r="P36" s="15" t="str">
        <f t="shared" si="14"/>
        <v>WO</v>
      </c>
      <c r="Q36" s="15"/>
      <c r="R36" s="15"/>
      <c r="S36" s="15"/>
      <c r="T36" s="15"/>
      <c r="U36" s="15"/>
      <c r="V36" s="15"/>
      <c r="W36" s="15" t="str">
        <f t="shared" si="14"/>
        <v>WO</v>
      </c>
      <c r="X36" s="15"/>
      <c r="Y36" s="15"/>
      <c r="Z36" s="15"/>
      <c r="AA36" s="15"/>
      <c r="AB36" s="15"/>
      <c r="AC36" s="15"/>
      <c r="AD36" s="15" t="str">
        <f t="shared" si="13"/>
        <v>WO</v>
      </c>
      <c r="AE36" s="15"/>
      <c r="AF36" s="15"/>
      <c r="AG36" s="15"/>
      <c r="AH36" s="15"/>
      <c r="AI36" s="15"/>
      <c r="AJ36" s="15"/>
      <c r="AK36" s="15" t="str">
        <f t="shared" si="15"/>
        <v>WO</v>
      </c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September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30</v>
      </c>
      <c r="BA36" s="30">
        <f>sep_repo[[#This Row],[Days]]-sep_repo[[#This Row],[Absent]]</f>
        <v>30</v>
      </c>
      <c r="BB36" s="31">
        <v>0</v>
      </c>
      <c r="BC36" s="32">
        <f>sep_repo[[#This Row],[Salary]]/sep_repo[[#This Row],[Days]]</f>
        <v>0</v>
      </c>
      <c r="BD36" s="30">
        <f>sep_repo[[#This Row],[Per Day Salary]]*sep_repo[[#This Row],[Absent]]</f>
        <v>0</v>
      </c>
      <c r="BE36" s="30">
        <f>sep_repo[[#This Row],[Salary]]-sep_repo[[#This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/>
      <c r="O37" s="15"/>
      <c r="P37" s="15" t="str">
        <f t="shared" si="14"/>
        <v>WO</v>
      </c>
      <c r="Q37" s="15"/>
      <c r="R37" s="15"/>
      <c r="S37" s="15"/>
      <c r="T37" s="15"/>
      <c r="U37" s="15"/>
      <c r="V37" s="15"/>
      <c r="W37" s="15" t="str">
        <f t="shared" si="14"/>
        <v>WO</v>
      </c>
      <c r="X37" s="15"/>
      <c r="Y37" s="15"/>
      <c r="Z37" s="15"/>
      <c r="AA37" s="15"/>
      <c r="AB37" s="15"/>
      <c r="AC37" s="15"/>
      <c r="AD37" s="15" t="str">
        <f t="shared" si="13"/>
        <v>WO</v>
      </c>
      <c r="AE37" s="15"/>
      <c r="AF37" s="15"/>
      <c r="AG37" s="15"/>
      <c r="AH37" s="15"/>
      <c r="AI37" s="15"/>
      <c r="AJ37" s="15"/>
      <c r="AK37" s="15" t="str">
        <f t="shared" si="15"/>
        <v>WO</v>
      </c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September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30</v>
      </c>
      <c r="BA37" s="30">
        <f>sep_repo[[#This Row],[Days]]-sep_repo[[#This Row],[Absent]]</f>
        <v>30</v>
      </c>
      <c r="BB37" s="31">
        <v>0</v>
      </c>
      <c r="BC37" s="32">
        <f>sep_repo[[#This Row],[Salary]]/sep_repo[[#This Row],[Days]]</f>
        <v>0</v>
      </c>
      <c r="BD37" s="30">
        <f>sep_repo[[#This Row],[Per Day Salary]]*sep_repo[[#This Row],[Absent]]</f>
        <v>0</v>
      </c>
      <c r="BE37" s="30">
        <f>sep_repo[[#This Row],[Salary]]-sep_repo[[#This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/>
      <c r="O38" s="21"/>
      <c r="P38" s="21" t="str">
        <f t="shared" si="14"/>
        <v>WO</v>
      </c>
      <c r="Q38" s="21"/>
      <c r="R38" s="21"/>
      <c r="S38" s="21"/>
      <c r="T38" s="21"/>
      <c r="U38" s="21"/>
      <c r="V38" s="21"/>
      <c r="W38" s="21" t="str">
        <f t="shared" si="14"/>
        <v>WO</v>
      </c>
      <c r="X38" s="21"/>
      <c r="Y38" s="21"/>
      <c r="Z38" s="21"/>
      <c r="AA38" s="21"/>
      <c r="AB38" s="21"/>
      <c r="AC38" s="21"/>
      <c r="AD38" s="21" t="str">
        <f t="shared" si="13"/>
        <v>WO</v>
      </c>
      <c r="AE38" s="21"/>
      <c r="AF38" s="21"/>
      <c r="AG38" s="21"/>
      <c r="AH38" s="21"/>
      <c r="AI38" s="21"/>
      <c r="AJ38" s="21"/>
      <c r="AK38" s="21" t="str">
        <f t="shared" si="15"/>
        <v>WO</v>
      </c>
      <c r="AL38" s="21"/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September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30</v>
      </c>
      <c r="BA38" s="30">
        <f>sep_repo[[#This Row],[Days]]-sep_repo[[#This Row],[Absent]]</f>
        <v>30</v>
      </c>
      <c r="BB38" s="31">
        <v>0</v>
      </c>
      <c r="BC38" s="32">
        <f>sep_repo[[#This Row],[Salary]]/sep_repo[[#This Row],[Days]]</f>
        <v>0</v>
      </c>
      <c r="BD38" s="30">
        <f>sep_repo[[#This Row],[Per Day Salary]]*sep_repo[[#This Row],[Absent]]</f>
        <v>0</v>
      </c>
      <c r="BE38" s="30">
        <f>sep_repo[[#This Row],[Salary]]-sep_repo[[#This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123" priority="12" operator="containsText" text="WO">
      <formula>NOT(ISERROR(SEARCH("WO",H5)))</formula>
    </cfRule>
  </conditionalFormatting>
  <conditionalFormatting sqref="K9">
    <cfRule type="containsText" dxfId="122" priority="5" operator="containsText" text="L">
      <formula>NOT(ISERROR(SEARCH("L",K9)))</formula>
    </cfRule>
    <cfRule type="containsText" dxfId="121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120" priority="9" operator="containsText" text="WO">
      <formula>NOT(ISERROR(SEARCH("WO",A1)))</formula>
    </cfRule>
    <cfRule type="containsText" dxfId="119" priority="10" operator="containsText" text="WO">
      <formula>NOT(ISERROR(SEARCH("WO",A1)))</formula>
    </cfRule>
  </conditionalFormatting>
  <conditionalFormatting sqref="K9:AO38">
    <cfRule type="containsText" dxfId="118" priority="6" operator="containsText" text="L">
      <formula>NOT(ISERROR(SEARCH("L",K9)))</formula>
    </cfRule>
    <cfRule type="containsText" dxfId="117" priority="7" operator="containsText" text="A">
      <formula>NOT(ISERROR(SEARCH("A",K9)))</formula>
    </cfRule>
    <cfRule type="containsText" dxfId="116" priority="8" operator="containsText" text="P">
      <formula>NOT(ISERROR(SEARCH("P",K9)))</formula>
    </cfRule>
  </conditionalFormatting>
  <conditionalFormatting sqref="BB9:BB38">
    <cfRule type="containsText" dxfId="115" priority="3" operator="containsText" text="WO">
      <formula>NOT(ISERROR(SEARCH("WO",BB9)))</formula>
    </cfRule>
    <cfRule type="containsText" dxfId="114" priority="4" operator="containsText" text="WO">
      <formula>NOT(ISERROR(SEARCH("WO",BB9)))</formula>
    </cfRule>
  </conditionalFormatting>
  <conditionalFormatting sqref="I9:I12">
    <cfRule type="containsText" dxfId="113" priority="1" operator="containsText" text="WO">
      <formula>NOT(ISERROR(SEARCH("WO",I9)))</formula>
    </cfRule>
    <cfRule type="containsText" dxfId="112" priority="2" operator="containsText" text="WO">
      <formula>NOT(ISERROR(SEARCH("WO",I9)))</formula>
    </cfRule>
  </conditionalFormatting>
  <dataValidations count="1">
    <dataValidation type="list" allowBlank="1" showInputMessage="1" showErrorMessage="1" sqref="K9:O38 Q9:V38 X9:AC38 AE9:AJ38 AL9:AO38" xr:uid="{00000000-0002-0000-08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800-000008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SEP!AV9:AY9</xm:f>
              <xm:sqref>BF9</xm:sqref>
            </x14:sparkline>
            <x14:sparkline>
              <xm:f>SEP!AV10:AY10</xm:f>
              <xm:sqref>BF10</xm:sqref>
            </x14:sparkline>
            <x14:sparkline>
              <xm:f>SEP!AV11:AY11</xm:f>
              <xm:sqref>BF11</xm:sqref>
            </x14:sparkline>
            <x14:sparkline>
              <xm:f>SEP!AV12:AY12</xm:f>
              <xm:sqref>BF12</xm:sqref>
            </x14:sparkline>
            <x14:sparkline>
              <xm:f>SEP!AV13:AY13</xm:f>
              <xm:sqref>BF13</xm:sqref>
            </x14:sparkline>
            <x14:sparkline>
              <xm:f>SEP!AV14:AY14</xm:f>
              <xm:sqref>BF14</xm:sqref>
            </x14:sparkline>
            <x14:sparkline>
              <xm:f>SEP!AV15:AY15</xm:f>
              <xm:sqref>BF15</xm:sqref>
            </x14:sparkline>
            <x14:sparkline>
              <xm:f>SEP!AV16:AY16</xm:f>
              <xm:sqref>BF16</xm:sqref>
            </x14:sparkline>
            <x14:sparkline>
              <xm:f>SEP!AV17:AY17</xm:f>
              <xm:sqref>BF17</xm:sqref>
            </x14:sparkline>
            <x14:sparkline>
              <xm:f>SEP!AV18:AY18</xm:f>
              <xm:sqref>BF18</xm:sqref>
            </x14:sparkline>
            <x14:sparkline>
              <xm:f>SEP!AV19:AY19</xm:f>
              <xm:sqref>BF19</xm:sqref>
            </x14:sparkline>
            <x14:sparkline>
              <xm:f>SEP!AV20:AY20</xm:f>
              <xm:sqref>BF20</xm:sqref>
            </x14:sparkline>
            <x14:sparkline>
              <xm:f>SEP!AV21:AY21</xm:f>
              <xm:sqref>BF21</xm:sqref>
            </x14:sparkline>
            <x14:sparkline>
              <xm:f>SEP!AV22:AY22</xm:f>
              <xm:sqref>BF22</xm:sqref>
            </x14:sparkline>
            <x14:sparkline>
              <xm:f>SEP!AV23:AY23</xm:f>
              <xm:sqref>BF23</xm:sqref>
            </x14:sparkline>
            <x14:sparkline>
              <xm:f>SEP!AV24:AY24</xm:f>
              <xm:sqref>BF24</xm:sqref>
            </x14:sparkline>
            <x14:sparkline>
              <xm:f>SEP!AV25:AY25</xm:f>
              <xm:sqref>BF25</xm:sqref>
            </x14:sparkline>
            <x14:sparkline>
              <xm:f>SEP!AV26:AY26</xm:f>
              <xm:sqref>BF26</xm:sqref>
            </x14:sparkline>
            <x14:sparkline>
              <xm:f>SEP!AV27:AY27</xm:f>
              <xm:sqref>BF27</xm:sqref>
            </x14:sparkline>
            <x14:sparkline>
              <xm:f>SEP!AV28:AY28</xm:f>
              <xm:sqref>BF28</xm:sqref>
            </x14:sparkline>
            <x14:sparkline>
              <xm:f>SEP!AV29:AY29</xm:f>
              <xm:sqref>BF29</xm:sqref>
            </x14:sparkline>
            <x14:sparkline>
              <xm:f>SEP!AV30:AY30</xm:f>
              <xm:sqref>BF30</xm:sqref>
            </x14:sparkline>
            <x14:sparkline>
              <xm:f>SEP!AV31:AY31</xm:f>
              <xm:sqref>BF31</xm:sqref>
            </x14:sparkline>
            <x14:sparkline>
              <xm:f>SEP!AV32:AY32</xm:f>
              <xm:sqref>BF32</xm:sqref>
            </x14:sparkline>
            <x14:sparkline>
              <xm:f>SEP!AV33:AY33</xm:f>
              <xm:sqref>BF33</xm:sqref>
            </x14:sparkline>
            <x14:sparkline>
              <xm:f>SEP!AV34:AY34</xm:f>
              <xm:sqref>BF34</xm:sqref>
            </x14:sparkline>
            <x14:sparkline>
              <xm:f>SEP!AV35:AY35</xm:f>
              <xm:sqref>BF35</xm:sqref>
            </x14:sparkline>
            <x14:sparkline>
              <xm:f>SEP!AV36:AY36</xm:f>
              <xm:sqref>BF36</xm:sqref>
            </x14:sparkline>
            <x14:sparkline>
              <xm:f>SEP!AV37:AY37</xm:f>
              <xm:sqref>BF37</xm:sqref>
            </x14:sparkline>
            <x14:sparkline>
              <xm:f>SEP!AV38:AY38</xm:f>
              <xm:sqref>BF38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Z163"/>
  <sheetViews>
    <sheetView topLeftCell="E9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46296</v>
      </c>
      <c r="I5" s="42">
        <f>(DATEDIF($H$5,$L$5,"D"))+1</f>
        <v>31</v>
      </c>
      <c r="J5" s="42" t="str">
        <f>TEXT(H5,"MMMM")</f>
        <v>October</v>
      </c>
      <c r="K5" s="42" t="s">
        <v>64</v>
      </c>
      <c r="L5" s="46">
        <f>EOMONTH(H5,0)</f>
        <v>46326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Thu</v>
      </c>
      <c r="L7" s="4" t="str">
        <f t="shared" ref="L7:AO7" si="0">TEXT(L8,"DDD")</f>
        <v>Fri</v>
      </c>
      <c r="M7" s="4" t="str">
        <f t="shared" si="0"/>
        <v>Sat</v>
      </c>
      <c r="N7" s="4" t="str">
        <f t="shared" si="0"/>
        <v>Sun</v>
      </c>
      <c r="O7" s="4" t="str">
        <f t="shared" si="0"/>
        <v>Mon</v>
      </c>
      <c r="P7" s="4" t="str">
        <f t="shared" si="0"/>
        <v>Tue</v>
      </c>
      <c r="Q7" s="4" t="str">
        <f t="shared" si="0"/>
        <v>Wed</v>
      </c>
      <c r="R7" s="4" t="str">
        <f t="shared" si="0"/>
        <v>Thu</v>
      </c>
      <c r="S7" s="4" t="str">
        <f t="shared" si="0"/>
        <v>Fri</v>
      </c>
      <c r="T7" s="4" t="str">
        <f t="shared" si="0"/>
        <v>Sat</v>
      </c>
      <c r="U7" s="4" t="str">
        <f t="shared" si="0"/>
        <v>Sun</v>
      </c>
      <c r="V7" s="4" t="str">
        <f t="shared" si="0"/>
        <v>Mon</v>
      </c>
      <c r="W7" s="4" t="str">
        <f t="shared" si="0"/>
        <v>Tue</v>
      </c>
      <c r="X7" s="4" t="str">
        <f t="shared" si="0"/>
        <v>Wed</v>
      </c>
      <c r="Y7" s="4" t="str">
        <f t="shared" si="0"/>
        <v>Thu</v>
      </c>
      <c r="Z7" s="4" t="str">
        <f t="shared" si="0"/>
        <v>Fri</v>
      </c>
      <c r="AA7" s="4" t="str">
        <f t="shared" si="0"/>
        <v>Sat</v>
      </c>
      <c r="AB7" s="4" t="str">
        <f t="shared" si="0"/>
        <v>Sun</v>
      </c>
      <c r="AC7" s="4" t="str">
        <f t="shared" si="0"/>
        <v>Mon</v>
      </c>
      <c r="AD7" s="4" t="str">
        <f t="shared" si="0"/>
        <v>Tue</v>
      </c>
      <c r="AE7" s="4" t="str">
        <f t="shared" si="0"/>
        <v>Wed</v>
      </c>
      <c r="AF7" s="4" t="str">
        <f t="shared" si="0"/>
        <v>Thu</v>
      </c>
      <c r="AG7" s="4" t="str">
        <f t="shared" si="0"/>
        <v>Fri</v>
      </c>
      <c r="AH7" s="4" t="str">
        <f t="shared" si="0"/>
        <v>Sat</v>
      </c>
      <c r="AI7" s="4" t="str">
        <f t="shared" si="0"/>
        <v>Sun</v>
      </c>
      <c r="AJ7" s="4" t="str">
        <f t="shared" si="0"/>
        <v>Mon</v>
      </c>
      <c r="AK7" s="4" t="str">
        <f t="shared" si="0"/>
        <v>Tue</v>
      </c>
      <c r="AL7" s="4" t="str">
        <f t="shared" si="0"/>
        <v>Wed</v>
      </c>
      <c r="AM7" s="4" t="str">
        <f t="shared" si="0"/>
        <v>Thu</v>
      </c>
      <c r="AN7" s="4" t="str">
        <f t="shared" si="0"/>
        <v>Fri</v>
      </c>
      <c r="AO7" s="4" t="str">
        <f t="shared" si="0"/>
        <v>Sat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46296</v>
      </c>
      <c r="L8" s="9">
        <f>IF(K8&lt;$L$5,K8+1,"")</f>
        <v>46297</v>
      </c>
      <c r="M8" s="9">
        <f t="shared" ref="M8:AM8" si="1">IF(L8&lt;$L$5,L8+1,"")</f>
        <v>46298</v>
      </c>
      <c r="N8" s="9">
        <f t="shared" si="1"/>
        <v>46299</v>
      </c>
      <c r="O8" s="9">
        <f t="shared" si="1"/>
        <v>46300</v>
      </c>
      <c r="P8" s="9">
        <f t="shared" si="1"/>
        <v>46301</v>
      </c>
      <c r="Q8" s="9">
        <f t="shared" si="1"/>
        <v>46302</v>
      </c>
      <c r="R8" s="9">
        <f t="shared" si="1"/>
        <v>46303</v>
      </c>
      <c r="S8" s="9">
        <f t="shared" si="1"/>
        <v>46304</v>
      </c>
      <c r="T8" s="9">
        <f t="shared" si="1"/>
        <v>46305</v>
      </c>
      <c r="U8" s="9">
        <f t="shared" si="1"/>
        <v>46306</v>
      </c>
      <c r="V8" s="9">
        <f t="shared" si="1"/>
        <v>46307</v>
      </c>
      <c r="W8" s="9">
        <f t="shared" si="1"/>
        <v>46308</v>
      </c>
      <c r="X8" s="9">
        <f t="shared" si="1"/>
        <v>46309</v>
      </c>
      <c r="Y8" s="9">
        <f t="shared" si="1"/>
        <v>46310</v>
      </c>
      <c r="Z8" s="9">
        <f t="shared" si="1"/>
        <v>46311</v>
      </c>
      <c r="AA8" s="9">
        <f t="shared" si="1"/>
        <v>46312</v>
      </c>
      <c r="AB8" s="9">
        <f t="shared" si="1"/>
        <v>46313</v>
      </c>
      <c r="AC8" s="9">
        <f t="shared" si="1"/>
        <v>46314</v>
      </c>
      <c r="AD8" s="9">
        <f t="shared" si="1"/>
        <v>46315</v>
      </c>
      <c r="AE8" s="9">
        <f t="shared" si="1"/>
        <v>46316</v>
      </c>
      <c r="AF8" s="9">
        <f t="shared" si="1"/>
        <v>46317</v>
      </c>
      <c r="AG8" s="9">
        <f t="shared" si="1"/>
        <v>46318</v>
      </c>
      <c r="AH8" s="9">
        <f t="shared" si="1"/>
        <v>46319</v>
      </c>
      <c r="AI8" s="9">
        <f t="shared" si="1"/>
        <v>46320</v>
      </c>
      <c r="AJ8" s="9">
        <f t="shared" si="1"/>
        <v>46321</v>
      </c>
      <c r="AK8" s="9">
        <f t="shared" si="1"/>
        <v>46322</v>
      </c>
      <c r="AL8" s="9">
        <f t="shared" si="1"/>
        <v>46323</v>
      </c>
      <c r="AM8" s="9">
        <f t="shared" si="1"/>
        <v>46324</v>
      </c>
      <c r="AN8" s="9">
        <f t="shared" ref="AN8:AO8" si="2">IF(AM8&lt;=$L$5,AM8+1,"")</f>
        <v>46325</v>
      </c>
      <c r="AO8" s="10">
        <f t="shared" si="2"/>
        <v>46326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 t="str">
        <f t="shared" ref="N9:AI17" si="3">IF(N$7="Sun","WO","")</f>
        <v>WO</v>
      </c>
      <c r="O9" s="15"/>
      <c r="P9" s="15"/>
      <c r="Q9" s="15"/>
      <c r="R9" s="15"/>
      <c r="S9" s="15"/>
      <c r="T9" s="15"/>
      <c r="U9" s="15" t="str">
        <f t="shared" si="3"/>
        <v>WO</v>
      </c>
      <c r="V9" s="15"/>
      <c r="W9" s="15"/>
      <c r="X9" s="15"/>
      <c r="Y9" s="15"/>
      <c r="Z9" s="15"/>
      <c r="AA9" s="15"/>
      <c r="AB9" s="15" t="str">
        <f t="shared" si="3"/>
        <v>WO</v>
      </c>
      <c r="AC9" s="15"/>
      <c r="AD9" s="15"/>
      <c r="AE9" s="15"/>
      <c r="AF9" s="15"/>
      <c r="AG9" s="15"/>
      <c r="AH9" s="15"/>
      <c r="AI9" s="15" t="str">
        <f t="shared" si="3"/>
        <v>WO</v>
      </c>
      <c r="AJ9" s="15"/>
      <c r="AK9" s="15"/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October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31</v>
      </c>
      <c r="BA9" s="30">
        <f>oct_repo[[#This Row],[Days]]-oct_repo[[#This Row],[Absent]]</f>
        <v>31</v>
      </c>
      <c r="BB9" s="31">
        <v>11000</v>
      </c>
      <c r="BC9" s="32">
        <f>oct_repo[[#This Row],[Salary]]/oct_repo[[#This Row],[Days]]</f>
        <v>354.83870967741933</v>
      </c>
      <c r="BD9" s="30">
        <f>oct_repo[[#This Row],[Per Day Salary]]*oct_repo[[#This Row],[Absent]]</f>
        <v>0</v>
      </c>
      <c r="BE9" s="30">
        <f>oct_repo[[#This Row],[Salary]]-oct_repo[[#This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 t="str">
        <f t="shared" si="3"/>
        <v>WO</v>
      </c>
      <c r="O10" s="15"/>
      <c r="P10" s="15"/>
      <c r="Q10" s="15"/>
      <c r="R10" s="15"/>
      <c r="S10" s="15"/>
      <c r="T10" s="15"/>
      <c r="U10" s="15" t="str">
        <f t="shared" si="3"/>
        <v>WO</v>
      </c>
      <c r="V10" s="15"/>
      <c r="W10" s="15"/>
      <c r="X10" s="15"/>
      <c r="Y10" s="15"/>
      <c r="Z10" s="15"/>
      <c r="AA10" s="15"/>
      <c r="AB10" s="15" t="str">
        <f t="shared" si="3"/>
        <v>WO</v>
      </c>
      <c r="AC10" s="15"/>
      <c r="AD10" s="15"/>
      <c r="AE10" s="15"/>
      <c r="AF10" s="15"/>
      <c r="AG10" s="15"/>
      <c r="AH10" s="15"/>
      <c r="AI10" s="15" t="str">
        <f t="shared" si="3"/>
        <v>WO</v>
      </c>
      <c r="AJ10" s="15"/>
      <c r="AK10" s="15"/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October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31</v>
      </c>
      <c r="BA10" s="30">
        <f>oct_repo[[#This Row],[Days]]-oct_repo[[#This Row],[Absent]]</f>
        <v>31</v>
      </c>
      <c r="BB10" s="31">
        <v>11000</v>
      </c>
      <c r="BC10" s="32">
        <f>oct_repo[[#This Row],[Salary]]/oct_repo[[#This Row],[Days]]</f>
        <v>354.83870967741933</v>
      </c>
      <c r="BD10" s="30">
        <f>oct_repo[[#This Row],[Per Day Salary]]*oct_repo[[#This Row],[Absent]]</f>
        <v>0</v>
      </c>
      <c r="BE10" s="30">
        <f>oct_repo[[#This Row],[Salary]]-oct_repo[[#This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 t="str">
        <f t="shared" si="3"/>
        <v>WO</v>
      </c>
      <c r="O11" s="15"/>
      <c r="P11" s="15"/>
      <c r="Q11" s="15"/>
      <c r="R11" s="15"/>
      <c r="S11" s="15"/>
      <c r="T11" s="15"/>
      <c r="U11" s="15" t="str">
        <f t="shared" si="3"/>
        <v>WO</v>
      </c>
      <c r="V11" s="15"/>
      <c r="W11" s="15"/>
      <c r="X11" s="15"/>
      <c r="Y11" s="15"/>
      <c r="Z11" s="15"/>
      <c r="AA11" s="15"/>
      <c r="AB11" s="15" t="str">
        <f t="shared" si="3"/>
        <v>WO</v>
      </c>
      <c r="AC11" s="15"/>
      <c r="AD11" s="15"/>
      <c r="AE11" s="15"/>
      <c r="AF11" s="15"/>
      <c r="AG11" s="15"/>
      <c r="AH11" s="15"/>
      <c r="AI11" s="15" t="str">
        <f t="shared" si="3"/>
        <v>WO</v>
      </c>
      <c r="AJ11" s="15"/>
      <c r="AK11" s="15"/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October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31</v>
      </c>
      <c r="BA11" s="30">
        <f>oct_repo[[#This Row],[Days]]-oct_repo[[#This Row],[Absent]]</f>
        <v>31</v>
      </c>
      <c r="BB11" s="31">
        <v>11000</v>
      </c>
      <c r="BC11" s="32">
        <f>oct_repo[[#This Row],[Salary]]/oct_repo[[#This Row],[Days]]</f>
        <v>354.83870967741933</v>
      </c>
      <c r="BD11" s="30">
        <f>oct_repo[[#This Row],[Per Day Salary]]*oct_repo[[#This Row],[Absent]]</f>
        <v>0</v>
      </c>
      <c r="BE11" s="30">
        <f>oct_repo[[#This Row],[Salary]]-oct_repo[[#This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 t="str">
        <f t="shared" si="3"/>
        <v>WO</v>
      </c>
      <c r="O12" s="15"/>
      <c r="P12" s="15"/>
      <c r="Q12" s="15"/>
      <c r="R12" s="15"/>
      <c r="S12" s="15"/>
      <c r="T12" s="15"/>
      <c r="U12" s="15" t="str">
        <f t="shared" si="3"/>
        <v>WO</v>
      </c>
      <c r="V12" s="15"/>
      <c r="W12" s="15"/>
      <c r="X12" s="15"/>
      <c r="Y12" s="15"/>
      <c r="Z12" s="15"/>
      <c r="AA12" s="15"/>
      <c r="AB12" s="15" t="str">
        <f t="shared" si="3"/>
        <v>WO</v>
      </c>
      <c r="AC12" s="15"/>
      <c r="AD12" s="15"/>
      <c r="AE12" s="15"/>
      <c r="AF12" s="15"/>
      <c r="AG12" s="15"/>
      <c r="AH12" s="15"/>
      <c r="AI12" s="15" t="str">
        <f t="shared" si="3"/>
        <v>WO</v>
      </c>
      <c r="AJ12" s="15"/>
      <c r="AK12" s="15"/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October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31</v>
      </c>
      <c r="BA12" s="30">
        <f>oct_repo[[#This Row],[Days]]-oct_repo[[#This Row],[Absent]]</f>
        <v>31</v>
      </c>
      <c r="BB12" s="31">
        <v>11000</v>
      </c>
      <c r="BC12" s="32">
        <f>oct_repo[[#This Row],[Salary]]/oct_repo[[#This Row],[Days]]</f>
        <v>354.83870967741933</v>
      </c>
      <c r="BD12" s="30">
        <f>oct_repo[[#This Row],[Per Day Salary]]*oct_repo[[#This Row],[Absent]]</f>
        <v>0</v>
      </c>
      <c r="BE12" s="30">
        <f>oct_repo[[#This Row],[Salary]]-oct_repo[[#This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 t="str">
        <f t="shared" si="3"/>
        <v>WO</v>
      </c>
      <c r="O13" s="15"/>
      <c r="P13" s="15"/>
      <c r="Q13" s="15"/>
      <c r="R13" s="15"/>
      <c r="S13" s="15"/>
      <c r="T13" s="15"/>
      <c r="U13" s="15" t="str">
        <f t="shared" si="3"/>
        <v>WO</v>
      </c>
      <c r="V13" s="15"/>
      <c r="W13" s="15"/>
      <c r="X13" s="15"/>
      <c r="Y13" s="15"/>
      <c r="Z13" s="15"/>
      <c r="AA13" s="15"/>
      <c r="AB13" s="15" t="str">
        <f t="shared" si="3"/>
        <v>WO</v>
      </c>
      <c r="AC13" s="15"/>
      <c r="AD13" s="15"/>
      <c r="AE13" s="15"/>
      <c r="AF13" s="15"/>
      <c r="AG13" s="15"/>
      <c r="AH13" s="15"/>
      <c r="AI13" s="15" t="str">
        <f t="shared" si="3"/>
        <v>WO</v>
      </c>
      <c r="AJ13" s="15"/>
      <c r="AK13" s="15"/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October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31</v>
      </c>
      <c r="BA13" s="30">
        <f>oct_repo[[#This Row],[Days]]-oct_repo[[#This Row],[Absent]]</f>
        <v>31</v>
      </c>
      <c r="BB13" s="31">
        <v>0</v>
      </c>
      <c r="BC13" s="32">
        <f>oct_repo[[#This Row],[Salary]]/oct_repo[[#This Row],[Days]]</f>
        <v>0</v>
      </c>
      <c r="BD13" s="30">
        <f>oct_repo[[#This Row],[Per Day Salary]]*oct_repo[[#This Row],[Absent]]</f>
        <v>0</v>
      </c>
      <c r="BE13" s="30">
        <f>oct_repo[[#This Row],[Salary]]-oct_repo[[#This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 t="str">
        <f t="shared" si="3"/>
        <v>WO</v>
      </c>
      <c r="O14" s="15"/>
      <c r="P14" s="15"/>
      <c r="Q14" s="15"/>
      <c r="R14" s="15"/>
      <c r="S14" s="15"/>
      <c r="T14" s="15"/>
      <c r="U14" s="15" t="str">
        <f t="shared" si="3"/>
        <v>WO</v>
      </c>
      <c r="V14" s="15"/>
      <c r="W14" s="15"/>
      <c r="X14" s="15"/>
      <c r="Y14" s="15"/>
      <c r="Z14" s="15"/>
      <c r="AA14" s="15"/>
      <c r="AB14" s="15" t="str">
        <f t="shared" si="3"/>
        <v>WO</v>
      </c>
      <c r="AC14" s="15"/>
      <c r="AD14" s="15"/>
      <c r="AE14" s="15"/>
      <c r="AF14" s="15"/>
      <c r="AG14" s="15"/>
      <c r="AH14" s="15"/>
      <c r="AI14" s="15" t="str">
        <f t="shared" si="3"/>
        <v>WO</v>
      </c>
      <c r="AJ14" s="15"/>
      <c r="AK14" s="15"/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October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31</v>
      </c>
      <c r="BA14" s="30">
        <f>oct_repo[[#This Row],[Days]]-oct_repo[[#This Row],[Absent]]</f>
        <v>31</v>
      </c>
      <c r="BB14" s="31">
        <v>0</v>
      </c>
      <c r="BC14" s="32">
        <f>oct_repo[[#This Row],[Salary]]/oct_repo[[#This Row],[Days]]</f>
        <v>0</v>
      </c>
      <c r="BD14" s="30">
        <f>oct_repo[[#This Row],[Per Day Salary]]*oct_repo[[#This Row],[Absent]]</f>
        <v>0</v>
      </c>
      <c r="BE14" s="30">
        <f>oct_repo[[#This Row],[Salary]]-oct_repo[[#This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 t="str">
        <f t="shared" si="3"/>
        <v>WO</v>
      </c>
      <c r="O15" s="15"/>
      <c r="P15" s="15"/>
      <c r="Q15" s="15"/>
      <c r="R15" s="15"/>
      <c r="S15" s="15"/>
      <c r="T15" s="15"/>
      <c r="U15" s="15" t="str">
        <f t="shared" si="3"/>
        <v>WO</v>
      </c>
      <c r="V15" s="15"/>
      <c r="W15" s="15"/>
      <c r="X15" s="15"/>
      <c r="Y15" s="15"/>
      <c r="Z15" s="15"/>
      <c r="AA15" s="15"/>
      <c r="AB15" s="15" t="str">
        <f t="shared" si="3"/>
        <v>WO</v>
      </c>
      <c r="AC15" s="15"/>
      <c r="AD15" s="15"/>
      <c r="AE15" s="15"/>
      <c r="AF15" s="15"/>
      <c r="AG15" s="15"/>
      <c r="AH15" s="15"/>
      <c r="AI15" s="15" t="str">
        <f t="shared" si="3"/>
        <v>WO</v>
      </c>
      <c r="AJ15" s="15"/>
      <c r="AK15" s="15"/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October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31</v>
      </c>
      <c r="BA15" s="30">
        <f>oct_repo[[#This Row],[Days]]-oct_repo[[#This Row],[Absent]]</f>
        <v>31</v>
      </c>
      <c r="BB15" s="31">
        <v>0</v>
      </c>
      <c r="BC15" s="32">
        <f>oct_repo[[#This Row],[Salary]]/oct_repo[[#This Row],[Days]]</f>
        <v>0</v>
      </c>
      <c r="BD15" s="30">
        <f>oct_repo[[#This Row],[Per Day Salary]]*oct_repo[[#This Row],[Absent]]</f>
        <v>0</v>
      </c>
      <c r="BE15" s="30">
        <f>oct_repo[[#This Row],[Salary]]-oct_repo[[#This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 t="str">
        <f t="shared" si="3"/>
        <v>WO</v>
      </c>
      <c r="O16" s="15"/>
      <c r="P16" s="15"/>
      <c r="Q16" s="15"/>
      <c r="R16" s="15"/>
      <c r="S16" s="15"/>
      <c r="T16" s="15"/>
      <c r="U16" s="15" t="str">
        <f t="shared" si="3"/>
        <v>WO</v>
      </c>
      <c r="V16" s="15"/>
      <c r="W16" s="15"/>
      <c r="X16" s="15"/>
      <c r="Y16" s="15"/>
      <c r="Z16" s="15"/>
      <c r="AA16" s="15"/>
      <c r="AB16" s="15" t="str">
        <f t="shared" si="3"/>
        <v>WO</v>
      </c>
      <c r="AC16" s="15"/>
      <c r="AD16" s="15"/>
      <c r="AE16" s="15"/>
      <c r="AF16" s="15"/>
      <c r="AG16" s="15"/>
      <c r="AH16" s="15"/>
      <c r="AI16" s="15" t="str">
        <f t="shared" si="3"/>
        <v>WO</v>
      </c>
      <c r="AJ16" s="15"/>
      <c r="AK16" s="15"/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October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31</v>
      </c>
      <c r="BA16" s="30">
        <f>oct_repo[[#This Row],[Days]]-oct_repo[[#This Row],[Absent]]</f>
        <v>31</v>
      </c>
      <c r="BB16" s="31">
        <v>0</v>
      </c>
      <c r="BC16" s="32">
        <f>oct_repo[[#This Row],[Salary]]/oct_repo[[#This Row],[Days]]</f>
        <v>0</v>
      </c>
      <c r="BD16" s="30">
        <f>oct_repo[[#This Row],[Per Day Salary]]*oct_repo[[#This Row],[Absent]]</f>
        <v>0</v>
      </c>
      <c r="BE16" s="30">
        <f>oct_repo[[#This Row],[Salary]]-oct_repo[[#This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 t="str">
        <f t="shared" si="3"/>
        <v>WO</v>
      </c>
      <c r="O17" s="15"/>
      <c r="P17" s="15"/>
      <c r="Q17" s="15"/>
      <c r="R17" s="15"/>
      <c r="S17" s="15"/>
      <c r="T17" s="15"/>
      <c r="U17" s="15" t="str">
        <f t="shared" si="3"/>
        <v>WO</v>
      </c>
      <c r="V17" s="15"/>
      <c r="W17" s="15"/>
      <c r="X17" s="15"/>
      <c r="Y17" s="15"/>
      <c r="Z17" s="15"/>
      <c r="AA17" s="15"/>
      <c r="AB17" s="15" t="str">
        <f t="shared" ref="AB17:AI34" si="11">IF(AB$7="Sun","WO","")</f>
        <v>WO</v>
      </c>
      <c r="AC17" s="15"/>
      <c r="AD17" s="15"/>
      <c r="AE17" s="15"/>
      <c r="AF17" s="15"/>
      <c r="AG17" s="15"/>
      <c r="AH17" s="15"/>
      <c r="AI17" s="15" t="str">
        <f t="shared" si="11"/>
        <v>WO</v>
      </c>
      <c r="AJ17" s="15"/>
      <c r="AK17" s="15"/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October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31</v>
      </c>
      <c r="BA17" s="30">
        <f>oct_repo[[#This Row],[Days]]-oct_repo[[#This Row],[Absent]]</f>
        <v>31</v>
      </c>
      <c r="BB17" s="31">
        <v>0</v>
      </c>
      <c r="BC17" s="32">
        <f>oct_repo[[#This Row],[Salary]]/oct_repo[[#This Row],[Days]]</f>
        <v>0</v>
      </c>
      <c r="BD17" s="30">
        <f>oct_repo[[#This Row],[Per Day Salary]]*oct_repo[[#This Row],[Absent]]</f>
        <v>0</v>
      </c>
      <c r="BE17" s="30">
        <f>oct_repo[[#This Row],[Salary]]-oct_repo[[#This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 t="str">
        <f t="shared" ref="N18:U33" si="12">IF(N$7="Sun","WO","")</f>
        <v>WO</v>
      </c>
      <c r="O18" s="15"/>
      <c r="P18" s="15"/>
      <c r="Q18" s="15"/>
      <c r="R18" s="15"/>
      <c r="S18" s="15"/>
      <c r="T18" s="15"/>
      <c r="U18" s="15" t="str">
        <f t="shared" si="12"/>
        <v>WO</v>
      </c>
      <c r="V18" s="15"/>
      <c r="W18" s="15"/>
      <c r="X18" s="15"/>
      <c r="Y18" s="15"/>
      <c r="Z18" s="15"/>
      <c r="AA18" s="15"/>
      <c r="AB18" s="15" t="str">
        <f t="shared" si="11"/>
        <v>WO</v>
      </c>
      <c r="AC18" s="15"/>
      <c r="AD18" s="15"/>
      <c r="AE18" s="15"/>
      <c r="AF18" s="15"/>
      <c r="AG18" s="15"/>
      <c r="AH18" s="15"/>
      <c r="AI18" s="15" t="str">
        <f t="shared" si="11"/>
        <v>WO</v>
      </c>
      <c r="AJ18" s="15"/>
      <c r="AK18" s="15"/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October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31</v>
      </c>
      <c r="BA18" s="30">
        <f>oct_repo[[#This Row],[Days]]-oct_repo[[#This Row],[Absent]]</f>
        <v>31</v>
      </c>
      <c r="BB18" s="31">
        <v>0</v>
      </c>
      <c r="BC18" s="32">
        <f>oct_repo[[#This Row],[Salary]]/oct_repo[[#This Row],[Days]]</f>
        <v>0</v>
      </c>
      <c r="BD18" s="30">
        <f>oct_repo[[#This Row],[Per Day Salary]]*oct_repo[[#This Row],[Absent]]</f>
        <v>0</v>
      </c>
      <c r="BE18" s="30">
        <f>oct_repo[[#This Row],[Salary]]-oct_repo[[#This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 t="str">
        <f t="shared" si="12"/>
        <v>WO</v>
      </c>
      <c r="O19" s="15"/>
      <c r="P19" s="15"/>
      <c r="Q19" s="15"/>
      <c r="R19" s="15"/>
      <c r="S19" s="15"/>
      <c r="T19" s="15"/>
      <c r="U19" s="15" t="str">
        <f t="shared" si="12"/>
        <v>WO</v>
      </c>
      <c r="V19" s="15"/>
      <c r="W19" s="15"/>
      <c r="X19" s="15"/>
      <c r="Y19" s="15"/>
      <c r="Z19" s="15"/>
      <c r="AA19" s="15"/>
      <c r="AB19" s="15" t="str">
        <f t="shared" si="11"/>
        <v>WO</v>
      </c>
      <c r="AC19" s="15"/>
      <c r="AD19" s="15"/>
      <c r="AE19" s="15"/>
      <c r="AF19" s="15"/>
      <c r="AG19" s="15"/>
      <c r="AH19" s="15"/>
      <c r="AI19" s="15" t="str">
        <f t="shared" si="11"/>
        <v>WO</v>
      </c>
      <c r="AJ19" s="15"/>
      <c r="AK19" s="15"/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October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31</v>
      </c>
      <c r="BA19" s="30">
        <f>oct_repo[[#This Row],[Days]]-oct_repo[[#This Row],[Absent]]</f>
        <v>31</v>
      </c>
      <c r="BB19" s="31">
        <v>0</v>
      </c>
      <c r="BC19" s="32">
        <f>oct_repo[[#This Row],[Salary]]/oct_repo[[#This Row],[Days]]</f>
        <v>0</v>
      </c>
      <c r="BD19" s="30">
        <f>oct_repo[[#This Row],[Per Day Salary]]*oct_repo[[#This Row],[Absent]]</f>
        <v>0</v>
      </c>
      <c r="BE19" s="30">
        <f>oct_repo[[#This Row],[Salary]]-oct_repo[[#This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 t="str">
        <f t="shared" si="12"/>
        <v>WO</v>
      </c>
      <c r="O20" s="15"/>
      <c r="P20" s="15"/>
      <c r="Q20" s="15"/>
      <c r="R20" s="15"/>
      <c r="S20" s="15"/>
      <c r="T20" s="15"/>
      <c r="U20" s="15" t="str">
        <f t="shared" si="12"/>
        <v>WO</v>
      </c>
      <c r="V20" s="15"/>
      <c r="W20" s="15"/>
      <c r="X20" s="15"/>
      <c r="Y20" s="15"/>
      <c r="Z20" s="15"/>
      <c r="AA20" s="15"/>
      <c r="AB20" s="15" t="str">
        <f t="shared" si="11"/>
        <v>WO</v>
      </c>
      <c r="AC20" s="15"/>
      <c r="AD20" s="15"/>
      <c r="AE20" s="15"/>
      <c r="AF20" s="15"/>
      <c r="AG20" s="15"/>
      <c r="AH20" s="15"/>
      <c r="AI20" s="15" t="str">
        <f t="shared" si="11"/>
        <v>WO</v>
      </c>
      <c r="AJ20" s="15"/>
      <c r="AK20" s="15"/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October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31</v>
      </c>
      <c r="BA20" s="30">
        <f>oct_repo[[#This Row],[Days]]-oct_repo[[#This Row],[Absent]]</f>
        <v>31</v>
      </c>
      <c r="BB20" s="31">
        <v>0</v>
      </c>
      <c r="BC20" s="32">
        <f>oct_repo[[#This Row],[Salary]]/oct_repo[[#This Row],[Days]]</f>
        <v>0</v>
      </c>
      <c r="BD20" s="30">
        <f>oct_repo[[#This Row],[Per Day Salary]]*oct_repo[[#This Row],[Absent]]</f>
        <v>0</v>
      </c>
      <c r="BE20" s="30">
        <f>oct_repo[[#This Row],[Salary]]-oct_repo[[#This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 t="str">
        <f t="shared" si="12"/>
        <v>WO</v>
      </c>
      <c r="O21" s="15"/>
      <c r="P21" s="15"/>
      <c r="Q21" s="15"/>
      <c r="R21" s="15"/>
      <c r="S21" s="15"/>
      <c r="T21" s="15"/>
      <c r="U21" s="15" t="str">
        <f t="shared" si="12"/>
        <v>WO</v>
      </c>
      <c r="V21" s="15"/>
      <c r="W21" s="15"/>
      <c r="X21" s="15"/>
      <c r="Y21" s="15"/>
      <c r="Z21" s="15"/>
      <c r="AA21" s="15"/>
      <c r="AB21" s="15" t="str">
        <f t="shared" si="11"/>
        <v>WO</v>
      </c>
      <c r="AC21" s="15"/>
      <c r="AD21" s="15"/>
      <c r="AE21" s="15"/>
      <c r="AF21" s="15"/>
      <c r="AG21" s="15"/>
      <c r="AH21" s="15"/>
      <c r="AI21" s="15" t="str">
        <f t="shared" si="11"/>
        <v>WO</v>
      </c>
      <c r="AJ21" s="15"/>
      <c r="AK21" s="15"/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October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31</v>
      </c>
      <c r="BA21" s="30">
        <f>oct_repo[[#This Row],[Days]]-oct_repo[[#This Row],[Absent]]</f>
        <v>31</v>
      </c>
      <c r="BB21" s="31">
        <v>0</v>
      </c>
      <c r="BC21" s="32">
        <f>oct_repo[[#This Row],[Salary]]/oct_repo[[#This Row],[Days]]</f>
        <v>0</v>
      </c>
      <c r="BD21" s="30">
        <f>oct_repo[[#This Row],[Per Day Salary]]*oct_repo[[#This Row],[Absent]]</f>
        <v>0</v>
      </c>
      <c r="BE21" s="30">
        <f>oct_repo[[#This Row],[Salary]]-oct_repo[[#This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 t="str">
        <f t="shared" si="12"/>
        <v>WO</v>
      </c>
      <c r="O22" s="15"/>
      <c r="P22" s="15"/>
      <c r="Q22" s="15"/>
      <c r="R22" s="15"/>
      <c r="S22" s="15"/>
      <c r="T22" s="15"/>
      <c r="U22" s="15" t="str">
        <f t="shared" si="12"/>
        <v>WO</v>
      </c>
      <c r="V22" s="15"/>
      <c r="W22" s="15"/>
      <c r="X22" s="15"/>
      <c r="Y22" s="15"/>
      <c r="Z22" s="15"/>
      <c r="AA22" s="15"/>
      <c r="AB22" s="15" t="str">
        <f t="shared" si="11"/>
        <v>WO</v>
      </c>
      <c r="AC22" s="15"/>
      <c r="AD22" s="15"/>
      <c r="AE22" s="15"/>
      <c r="AF22" s="15"/>
      <c r="AG22" s="15"/>
      <c r="AH22" s="15"/>
      <c r="AI22" s="15" t="str">
        <f t="shared" si="11"/>
        <v>WO</v>
      </c>
      <c r="AJ22" s="15"/>
      <c r="AK22" s="15"/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October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31</v>
      </c>
      <c r="BA22" s="30">
        <f>oct_repo[[#This Row],[Days]]-oct_repo[[#This Row],[Absent]]</f>
        <v>31</v>
      </c>
      <c r="BB22" s="31">
        <v>0</v>
      </c>
      <c r="BC22" s="32">
        <f>oct_repo[[#This Row],[Salary]]/oct_repo[[#This Row],[Days]]</f>
        <v>0</v>
      </c>
      <c r="BD22" s="30">
        <f>oct_repo[[#This Row],[Per Day Salary]]*oct_repo[[#This Row],[Absent]]</f>
        <v>0</v>
      </c>
      <c r="BE22" s="30">
        <f>oct_repo[[#This Row],[Salary]]-oct_repo[[#This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 t="str">
        <f t="shared" si="12"/>
        <v>WO</v>
      </c>
      <c r="O23" s="15"/>
      <c r="P23" s="15"/>
      <c r="Q23" s="15"/>
      <c r="R23" s="15"/>
      <c r="S23" s="15"/>
      <c r="T23" s="15"/>
      <c r="U23" s="15" t="str">
        <f t="shared" si="12"/>
        <v>WO</v>
      </c>
      <c r="V23" s="15"/>
      <c r="W23" s="15"/>
      <c r="X23" s="15"/>
      <c r="Y23" s="15"/>
      <c r="Z23" s="15"/>
      <c r="AA23" s="15"/>
      <c r="AB23" s="15" t="str">
        <f t="shared" si="11"/>
        <v>WO</v>
      </c>
      <c r="AC23" s="15"/>
      <c r="AD23" s="15"/>
      <c r="AE23" s="15"/>
      <c r="AF23" s="15"/>
      <c r="AG23" s="15"/>
      <c r="AH23" s="15"/>
      <c r="AI23" s="15" t="str">
        <f t="shared" si="11"/>
        <v>WO</v>
      </c>
      <c r="AJ23" s="15"/>
      <c r="AK23" s="15"/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October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31</v>
      </c>
      <c r="BA23" s="30">
        <f>oct_repo[[#This Row],[Days]]-oct_repo[[#This Row],[Absent]]</f>
        <v>31</v>
      </c>
      <c r="BB23" s="31">
        <v>0</v>
      </c>
      <c r="BC23" s="32">
        <f>oct_repo[[#This Row],[Salary]]/oct_repo[[#This Row],[Days]]</f>
        <v>0</v>
      </c>
      <c r="BD23" s="30">
        <f>oct_repo[[#This Row],[Per Day Salary]]*oct_repo[[#This Row],[Absent]]</f>
        <v>0</v>
      </c>
      <c r="BE23" s="30">
        <f>oct_repo[[#This Row],[Salary]]-oct_repo[[#This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 t="str">
        <f t="shared" si="12"/>
        <v>WO</v>
      </c>
      <c r="O24" s="15"/>
      <c r="P24" s="15"/>
      <c r="Q24" s="15"/>
      <c r="R24" s="15"/>
      <c r="S24" s="15"/>
      <c r="T24" s="15"/>
      <c r="U24" s="15" t="str">
        <f t="shared" si="12"/>
        <v>WO</v>
      </c>
      <c r="V24" s="15"/>
      <c r="W24" s="15"/>
      <c r="X24" s="15"/>
      <c r="Y24" s="15"/>
      <c r="Z24" s="15"/>
      <c r="AA24" s="15"/>
      <c r="AB24" s="15" t="str">
        <f t="shared" si="11"/>
        <v>WO</v>
      </c>
      <c r="AC24" s="15"/>
      <c r="AD24" s="15"/>
      <c r="AE24" s="15"/>
      <c r="AF24" s="15"/>
      <c r="AG24" s="15"/>
      <c r="AH24" s="15"/>
      <c r="AI24" s="15" t="str">
        <f t="shared" si="11"/>
        <v>WO</v>
      </c>
      <c r="AJ24" s="15"/>
      <c r="AK24" s="15"/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October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31</v>
      </c>
      <c r="BA24" s="30">
        <f>oct_repo[[#This Row],[Days]]-oct_repo[[#This Row],[Absent]]</f>
        <v>31</v>
      </c>
      <c r="BB24" s="31">
        <v>0</v>
      </c>
      <c r="BC24" s="32">
        <f>oct_repo[[#This Row],[Salary]]/oct_repo[[#This Row],[Days]]</f>
        <v>0</v>
      </c>
      <c r="BD24" s="30">
        <f>oct_repo[[#This Row],[Per Day Salary]]*oct_repo[[#This Row],[Absent]]</f>
        <v>0</v>
      </c>
      <c r="BE24" s="30">
        <f>oct_repo[[#This Row],[Salary]]-oct_repo[[#This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 t="str">
        <f t="shared" si="12"/>
        <v>WO</v>
      </c>
      <c r="O25" s="15"/>
      <c r="P25" s="15"/>
      <c r="Q25" s="15"/>
      <c r="R25" s="15"/>
      <c r="S25" s="15"/>
      <c r="T25" s="15"/>
      <c r="U25" s="15" t="str">
        <f t="shared" si="12"/>
        <v>WO</v>
      </c>
      <c r="V25" s="15"/>
      <c r="W25" s="15"/>
      <c r="X25" s="15"/>
      <c r="Y25" s="15"/>
      <c r="Z25" s="15"/>
      <c r="AA25" s="15"/>
      <c r="AB25" s="15" t="str">
        <f t="shared" si="11"/>
        <v>WO</v>
      </c>
      <c r="AC25" s="15"/>
      <c r="AD25" s="15"/>
      <c r="AE25" s="15"/>
      <c r="AF25" s="15"/>
      <c r="AG25" s="15"/>
      <c r="AH25" s="15"/>
      <c r="AI25" s="15" t="str">
        <f t="shared" si="11"/>
        <v>WO</v>
      </c>
      <c r="AJ25" s="15"/>
      <c r="AK25" s="15"/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October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31</v>
      </c>
      <c r="BA25" s="30">
        <f>oct_repo[[#This Row],[Days]]-oct_repo[[#This Row],[Absent]]</f>
        <v>31</v>
      </c>
      <c r="BB25" s="31">
        <v>0</v>
      </c>
      <c r="BC25" s="32">
        <f>oct_repo[[#This Row],[Salary]]/oct_repo[[#This Row],[Days]]</f>
        <v>0</v>
      </c>
      <c r="BD25" s="30">
        <f>oct_repo[[#This Row],[Per Day Salary]]*oct_repo[[#This Row],[Absent]]</f>
        <v>0</v>
      </c>
      <c r="BE25" s="30">
        <f>oct_repo[[#This Row],[Salary]]-oct_repo[[#This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 t="str">
        <f t="shared" si="12"/>
        <v>WO</v>
      </c>
      <c r="O26" s="15"/>
      <c r="P26" s="15"/>
      <c r="Q26" s="15"/>
      <c r="R26" s="15"/>
      <c r="S26" s="15"/>
      <c r="T26" s="15"/>
      <c r="U26" s="15" t="str">
        <f t="shared" si="12"/>
        <v>WO</v>
      </c>
      <c r="V26" s="15"/>
      <c r="W26" s="15"/>
      <c r="X26" s="15"/>
      <c r="Y26" s="15"/>
      <c r="Z26" s="15"/>
      <c r="AA26" s="15"/>
      <c r="AB26" s="15" t="str">
        <f t="shared" si="11"/>
        <v>WO</v>
      </c>
      <c r="AC26" s="15"/>
      <c r="AD26" s="15"/>
      <c r="AE26" s="15"/>
      <c r="AF26" s="15"/>
      <c r="AG26" s="15"/>
      <c r="AH26" s="15"/>
      <c r="AI26" s="15" t="str">
        <f t="shared" si="11"/>
        <v>WO</v>
      </c>
      <c r="AJ26" s="15"/>
      <c r="AK26" s="15"/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October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31</v>
      </c>
      <c r="BA26" s="30">
        <f>oct_repo[[#This Row],[Days]]-oct_repo[[#This Row],[Absent]]</f>
        <v>31</v>
      </c>
      <c r="BB26" s="31">
        <v>0</v>
      </c>
      <c r="BC26" s="32">
        <f>oct_repo[[#This Row],[Salary]]/oct_repo[[#This Row],[Days]]</f>
        <v>0</v>
      </c>
      <c r="BD26" s="30">
        <f>oct_repo[[#This Row],[Per Day Salary]]*oct_repo[[#This Row],[Absent]]</f>
        <v>0</v>
      </c>
      <c r="BE26" s="30">
        <f>oct_repo[[#This Row],[Salary]]-oct_repo[[#This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 t="str">
        <f t="shared" si="12"/>
        <v>WO</v>
      </c>
      <c r="O27" s="15"/>
      <c r="P27" s="15"/>
      <c r="Q27" s="15"/>
      <c r="R27" s="15"/>
      <c r="S27" s="15"/>
      <c r="T27" s="15"/>
      <c r="U27" s="15" t="str">
        <f t="shared" si="12"/>
        <v>WO</v>
      </c>
      <c r="V27" s="15"/>
      <c r="W27" s="15"/>
      <c r="X27" s="15"/>
      <c r="Y27" s="15"/>
      <c r="Z27" s="15"/>
      <c r="AA27" s="15"/>
      <c r="AB27" s="15" t="str">
        <f t="shared" si="11"/>
        <v>WO</v>
      </c>
      <c r="AC27" s="15"/>
      <c r="AD27" s="15"/>
      <c r="AE27" s="15"/>
      <c r="AF27" s="15"/>
      <c r="AG27" s="15"/>
      <c r="AH27" s="15"/>
      <c r="AI27" s="15" t="str">
        <f t="shared" si="11"/>
        <v>WO</v>
      </c>
      <c r="AJ27" s="15"/>
      <c r="AK27" s="15"/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October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31</v>
      </c>
      <c r="BA27" s="30">
        <f>oct_repo[[#This Row],[Days]]-oct_repo[[#This Row],[Absent]]</f>
        <v>31</v>
      </c>
      <c r="BB27" s="31">
        <v>0</v>
      </c>
      <c r="BC27" s="32">
        <f>oct_repo[[#This Row],[Salary]]/oct_repo[[#This Row],[Days]]</f>
        <v>0</v>
      </c>
      <c r="BD27" s="30">
        <f>oct_repo[[#This Row],[Per Day Salary]]*oct_repo[[#This Row],[Absent]]</f>
        <v>0</v>
      </c>
      <c r="BE27" s="30">
        <f>oct_repo[[#This Row],[Salary]]-oct_repo[[#This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 t="str">
        <f t="shared" si="12"/>
        <v>WO</v>
      </c>
      <c r="O28" s="15"/>
      <c r="P28" s="15"/>
      <c r="Q28" s="15"/>
      <c r="R28" s="15"/>
      <c r="S28" s="15"/>
      <c r="T28" s="15"/>
      <c r="U28" s="15" t="str">
        <f t="shared" si="12"/>
        <v>WO</v>
      </c>
      <c r="V28" s="15"/>
      <c r="W28" s="15"/>
      <c r="X28" s="15"/>
      <c r="Y28" s="15"/>
      <c r="Z28" s="15"/>
      <c r="AA28" s="15"/>
      <c r="AB28" s="15" t="str">
        <f t="shared" si="11"/>
        <v>WO</v>
      </c>
      <c r="AC28" s="15"/>
      <c r="AD28" s="15"/>
      <c r="AE28" s="15"/>
      <c r="AF28" s="15"/>
      <c r="AG28" s="15"/>
      <c r="AH28" s="15"/>
      <c r="AI28" s="15" t="str">
        <f t="shared" si="11"/>
        <v>WO</v>
      </c>
      <c r="AJ28" s="15"/>
      <c r="AK28" s="15"/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October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31</v>
      </c>
      <c r="BA28" s="30">
        <f>oct_repo[[#This Row],[Days]]-oct_repo[[#This Row],[Absent]]</f>
        <v>31</v>
      </c>
      <c r="BB28" s="31">
        <v>0</v>
      </c>
      <c r="BC28" s="32">
        <f>oct_repo[[#This Row],[Salary]]/oct_repo[[#This Row],[Days]]</f>
        <v>0</v>
      </c>
      <c r="BD28" s="30">
        <f>oct_repo[[#This Row],[Per Day Salary]]*oct_repo[[#This Row],[Absent]]</f>
        <v>0</v>
      </c>
      <c r="BE28" s="30">
        <f>oct_repo[[#This Row],[Salary]]-oct_repo[[#This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 t="str">
        <f t="shared" si="12"/>
        <v>WO</v>
      </c>
      <c r="O29" s="15"/>
      <c r="P29" s="15"/>
      <c r="Q29" s="15"/>
      <c r="R29" s="15"/>
      <c r="S29" s="15"/>
      <c r="T29" s="15"/>
      <c r="U29" s="15" t="str">
        <f t="shared" si="12"/>
        <v>WO</v>
      </c>
      <c r="V29" s="15"/>
      <c r="W29" s="15"/>
      <c r="X29" s="15"/>
      <c r="Y29" s="15"/>
      <c r="Z29" s="15"/>
      <c r="AA29" s="15"/>
      <c r="AB29" s="15" t="str">
        <f t="shared" si="11"/>
        <v>WO</v>
      </c>
      <c r="AC29" s="15"/>
      <c r="AD29" s="15"/>
      <c r="AE29" s="15"/>
      <c r="AF29" s="15"/>
      <c r="AG29" s="15"/>
      <c r="AH29" s="15"/>
      <c r="AI29" s="15" t="str">
        <f t="shared" si="11"/>
        <v>WO</v>
      </c>
      <c r="AJ29" s="15"/>
      <c r="AK29" s="15"/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October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31</v>
      </c>
      <c r="BA29" s="30">
        <f>oct_repo[[#This Row],[Days]]-oct_repo[[#This Row],[Absent]]</f>
        <v>31</v>
      </c>
      <c r="BB29" s="31">
        <v>0</v>
      </c>
      <c r="BC29" s="32">
        <f>oct_repo[[#This Row],[Salary]]/oct_repo[[#This Row],[Days]]</f>
        <v>0</v>
      </c>
      <c r="BD29" s="30">
        <f>oct_repo[[#This Row],[Per Day Salary]]*oct_repo[[#This Row],[Absent]]</f>
        <v>0</v>
      </c>
      <c r="BE29" s="30">
        <f>oct_repo[[#This Row],[Salary]]-oct_repo[[#This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 t="str">
        <f t="shared" si="12"/>
        <v>WO</v>
      </c>
      <c r="O30" s="15"/>
      <c r="P30" s="15"/>
      <c r="Q30" s="15"/>
      <c r="R30" s="15"/>
      <c r="S30" s="15"/>
      <c r="T30" s="15"/>
      <c r="U30" s="15" t="str">
        <f t="shared" si="12"/>
        <v>WO</v>
      </c>
      <c r="V30" s="15"/>
      <c r="W30" s="15"/>
      <c r="X30" s="15"/>
      <c r="Y30" s="15"/>
      <c r="Z30" s="15"/>
      <c r="AA30" s="15"/>
      <c r="AB30" s="15" t="str">
        <f t="shared" si="11"/>
        <v>WO</v>
      </c>
      <c r="AC30" s="15"/>
      <c r="AD30" s="15"/>
      <c r="AE30" s="15"/>
      <c r="AF30" s="15"/>
      <c r="AG30" s="15"/>
      <c r="AH30" s="15"/>
      <c r="AI30" s="15" t="str">
        <f t="shared" si="11"/>
        <v>WO</v>
      </c>
      <c r="AJ30" s="15"/>
      <c r="AK30" s="15"/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October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31</v>
      </c>
      <c r="BA30" s="30">
        <f>oct_repo[[#This Row],[Days]]-oct_repo[[#This Row],[Absent]]</f>
        <v>31</v>
      </c>
      <c r="BB30" s="31">
        <v>0</v>
      </c>
      <c r="BC30" s="32">
        <f>oct_repo[[#This Row],[Salary]]/oct_repo[[#This Row],[Days]]</f>
        <v>0</v>
      </c>
      <c r="BD30" s="30">
        <f>oct_repo[[#This Row],[Per Day Salary]]*oct_repo[[#This Row],[Absent]]</f>
        <v>0</v>
      </c>
      <c r="BE30" s="30">
        <f>oct_repo[[#This Row],[Salary]]-oct_repo[[#This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 t="str">
        <f t="shared" si="12"/>
        <v>WO</v>
      </c>
      <c r="O31" s="15"/>
      <c r="P31" s="15"/>
      <c r="Q31" s="15"/>
      <c r="R31" s="15"/>
      <c r="S31" s="15"/>
      <c r="T31" s="15"/>
      <c r="U31" s="15" t="str">
        <f t="shared" si="12"/>
        <v>WO</v>
      </c>
      <c r="V31" s="15"/>
      <c r="W31" s="15"/>
      <c r="X31" s="15"/>
      <c r="Y31" s="15"/>
      <c r="Z31" s="15"/>
      <c r="AA31" s="15"/>
      <c r="AB31" s="15" t="str">
        <f t="shared" si="11"/>
        <v>WO</v>
      </c>
      <c r="AC31" s="15"/>
      <c r="AD31" s="15"/>
      <c r="AE31" s="15"/>
      <c r="AF31" s="15"/>
      <c r="AG31" s="15"/>
      <c r="AH31" s="15"/>
      <c r="AI31" s="15" t="str">
        <f t="shared" si="11"/>
        <v>WO</v>
      </c>
      <c r="AJ31" s="15"/>
      <c r="AK31" s="15"/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October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31</v>
      </c>
      <c r="BA31" s="30">
        <f>oct_repo[[#This Row],[Days]]-oct_repo[[#This Row],[Absent]]</f>
        <v>31</v>
      </c>
      <c r="BB31" s="31">
        <v>0</v>
      </c>
      <c r="BC31" s="32">
        <f>oct_repo[[#This Row],[Salary]]/oct_repo[[#This Row],[Days]]</f>
        <v>0</v>
      </c>
      <c r="BD31" s="30">
        <f>oct_repo[[#This Row],[Per Day Salary]]*oct_repo[[#This Row],[Absent]]</f>
        <v>0</v>
      </c>
      <c r="BE31" s="30">
        <f>oct_repo[[#This Row],[Salary]]-oct_repo[[#This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 t="str">
        <f t="shared" si="12"/>
        <v>WO</v>
      </c>
      <c r="O32" s="15"/>
      <c r="P32" s="15"/>
      <c r="Q32" s="15"/>
      <c r="R32" s="15"/>
      <c r="S32" s="15"/>
      <c r="T32" s="15"/>
      <c r="U32" s="15" t="str">
        <f t="shared" si="12"/>
        <v>WO</v>
      </c>
      <c r="V32" s="15"/>
      <c r="W32" s="15"/>
      <c r="X32" s="15"/>
      <c r="Y32" s="15"/>
      <c r="Z32" s="15"/>
      <c r="AA32" s="15"/>
      <c r="AB32" s="15" t="str">
        <f t="shared" si="11"/>
        <v>WO</v>
      </c>
      <c r="AC32" s="15"/>
      <c r="AD32" s="15"/>
      <c r="AE32" s="15"/>
      <c r="AF32" s="15"/>
      <c r="AG32" s="15"/>
      <c r="AH32" s="15"/>
      <c r="AI32" s="15" t="str">
        <f t="shared" si="11"/>
        <v>WO</v>
      </c>
      <c r="AJ32" s="15"/>
      <c r="AK32" s="15"/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October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31</v>
      </c>
      <c r="BA32" s="30">
        <f>oct_repo[[#This Row],[Days]]-oct_repo[[#This Row],[Absent]]</f>
        <v>31</v>
      </c>
      <c r="BB32" s="31">
        <v>0</v>
      </c>
      <c r="BC32" s="32">
        <f>oct_repo[[#This Row],[Salary]]/oct_repo[[#This Row],[Days]]</f>
        <v>0</v>
      </c>
      <c r="BD32" s="30">
        <f>oct_repo[[#This Row],[Per Day Salary]]*oct_repo[[#This Row],[Absent]]</f>
        <v>0</v>
      </c>
      <c r="BE32" s="30">
        <f>oct_repo[[#This Row],[Salary]]-oct_repo[[#This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 t="str">
        <f t="shared" si="12"/>
        <v>WO</v>
      </c>
      <c r="O33" s="15"/>
      <c r="P33" s="15"/>
      <c r="Q33" s="15"/>
      <c r="R33" s="15"/>
      <c r="S33" s="15"/>
      <c r="T33" s="15"/>
      <c r="U33" s="15" t="str">
        <f t="shared" ref="U33:AB38" si="13">IF(U$7="Sun","WO","")</f>
        <v>WO</v>
      </c>
      <c r="V33" s="15"/>
      <c r="W33" s="15"/>
      <c r="X33" s="15"/>
      <c r="Y33" s="15"/>
      <c r="Z33" s="15"/>
      <c r="AA33" s="15"/>
      <c r="AB33" s="15" t="str">
        <f t="shared" si="13"/>
        <v>WO</v>
      </c>
      <c r="AC33" s="15"/>
      <c r="AD33" s="15"/>
      <c r="AE33" s="15"/>
      <c r="AF33" s="15"/>
      <c r="AG33" s="15"/>
      <c r="AH33" s="15"/>
      <c r="AI33" s="15" t="str">
        <f t="shared" si="11"/>
        <v>WO</v>
      </c>
      <c r="AJ33" s="15"/>
      <c r="AK33" s="15"/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October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31</v>
      </c>
      <c r="BA33" s="30">
        <f>oct_repo[[#This Row],[Days]]-oct_repo[[#This Row],[Absent]]</f>
        <v>31</v>
      </c>
      <c r="BB33" s="31">
        <v>0</v>
      </c>
      <c r="BC33" s="32">
        <f>oct_repo[[#This Row],[Salary]]/oct_repo[[#This Row],[Days]]</f>
        <v>0</v>
      </c>
      <c r="BD33" s="30">
        <f>oct_repo[[#This Row],[Per Day Salary]]*oct_repo[[#This Row],[Absent]]</f>
        <v>0</v>
      </c>
      <c r="BE33" s="30">
        <f>oct_repo[[#This Row],[Salary]]-oct_repo[[#This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 t="str">
        <f t="shared" ref="N34:U38" si="14">IF(N$7="Sun","WO","")</f>
        <v>WO</v>
      </c>
      <c r="O34" s="15"/>
      <c r="P34" s="15"/>
      <c r="Q34" s="15"/>
      <c r="R34" s="15"/>
      <c r="S34" s="15"/>
      <c r="T34" s="15"/>
      <c r="U34" s="15" t="str">
        <f t="shared" si="14"/>
        <v>WO</v>
      </c>
      <c r="V34" s="15"/>
      <c r="W34" s="15"/>
      <c r="X34" s="15"/>
      <c r="Y34" s="15"/>
      <c r="Z34" s="15"/>
      <c r="AA34" s="15"/>
      <c r="AB34" s="15" t="str">
        <f t="shared" si="13"/>
        <v>WO</v>
      </c>
      <c r="AC34" s="15"/>
      <c r="AD34" s="15"/>
      <c r="AE34" s="15"/>
      <c r="AF34" s="15"/>
      <c r="AG34" s="15"/>
      <c r="AH34" s="15"/>
      <c r="AI34" s="15" t="str">
        <f t="shared" si="11"/>
        <v>WO</v>
      </c>
      <c r="AJ34" s="15"/>
      <c r="AK34" s="15"/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October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31</v>
      </c>
      <c r="BA34" s="30">
        <f>oct_repo[[#This Row],[Days]]-oct_repo[[#This Row],[Absent]]</f>
        <v>31</v>
      </c>
      <c r="BB34" s="31">
        <v>0</v>
      </c>
      <c r="BC34" s="32">
        <f>oct_repo[[#This Row],[Salary]]/oct_repo[[#This Row],[Days]]</f>
        <v>0</v>
      </c>
      <c r="BD34" s="30">
        <f>oct_repo[[#This Row],[Per Day Salary]]*oct_repo[[#This Row],[Absent]]</f>
        <v>0</v>
      </c>
      <c r="BE34" s="30">
        <f>oct_repo[[#This Row],[Salary]]-oct_repo[[#This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 t="str">
        <f t="shared" si="14"/>
        <v>WO</v>
      </c>
      <c r="O35" s="15"/>
      <c r="P35" s="15"/>
      <c r="Q35" s="15"/>
      <c r="R35" s="15"/>
      <c r="S35" s="15"/>
      <c r="T35" s="15"/>
      <c r="U35" s="15" t="str">
        <f t="shared" si="14"/>
        <v>WO</v>
      </c>
      <c r="V35" s="15"/>
      <c r="W35" s="15"/>
      <c r="X35" s="15"/>
      <c r="Y35" s="15"/>
      <c r="Z35" s="15"/>
      <c r="AA35" s="15"/>
      <c r="AB35" s="15" t="str">
        <f t="shared" si="13"/>
        <v>WO</v>
      </c>
      <c r="AC35" s="15"/>
      <c r="AD35" s="15"/>
      <c r="AE35" s="15"/>
      <c r="AF35" s="15"/>
      <c r="AG35" s="15"/>
      <c r="AH35" s="15"/>
      <c r="AI35" s="15" t="str">
        <f t="shared" ref="AI35:AI38" si="15">IF(AI$7="Sun","WO","")</f>
        <v>WO</v>
      </c>
      <c r="AJ35" s="15"/>
      <c r="AK35" s="15"/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October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31</v>
      </c>
      <c r="BA35" s="30">
        <f>oct_repo[[#This Row],[Days]]-oct_repo[[#This Row],[Absent]]</f>
        <v>31</v>
      </c>
      <c r="BB35" s="31">
        <v>0</v>
      </c>
      <c r="BC35" s="32">
        <f>oct_repo[[#This Row],[Salary]]/oct_repo[[#This Row],[Days]]</f>
        <v>0</v>
      </c>
      <c r="BD35" s="30">
        <f>oct_repo[[#This Row],[Per Day Salary]]*oct_repo[[#This Row],[Absent]]</f>
        <v>0</v>
      </c>
      <c r="BE35" s="30">
        <f>oct_repo[[#This Row],[Salary]]-oct_repo[[#This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 t="str">
        <f t="shared" si="14"/>
        <v>WO</v>
      </c>
      <c r="O36" s="15"/>
      <c r="P36" s="15"/>
      <c r="Q36" s="15"/>
      <c r="R36" s="15"/>
      <c r="S36" s="15"/>
      <c r="T36" s="15"/>
      <c r="U36" s="15" t="str">
        <f t="shared" si="14"/>
        <v>WO</v>
      </c>
      <c r="V36" s="15"/>
      <c r="W36" s="15"/>
      <c r="X36" s="15"/>
      <c r="Y36" s="15"/>
      <c r="Z36" s="15"/>
      <c r="AA36" s="15"/>
      <c r="AB36" s="15" t="str">
        <f t="shared" si="13"/>
        <v>WO</v>
      </c>
      <c r="AC36" s="15"/>
      <c r="AD36" s="15"/>
      <c r="AE36" s="15"/>
      <c r="AF36" s="15"/>
      <c r="AG36" s="15"/>
      <c r="AH36" s="15"/>
      <c r="AI36" s="15" t="str">
        <f t="shared" si="15"/>
        <v>WO</v>
      </c>
      <c r="AJ36" s="15"/>
      <c r="AK36" s="15"/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October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31</v>
      </c>
      <c r="BA36" s="30">
        <f>oct_repo[[#This Row],[Days]]-oct_repo[[#This Row],[Absent]]</f>
        <v>31</v>
      </c>
      <c r="BB36" s="31">
        <v>0</v>
      </c>
      <c r="BC36" s="32">
        <f>oct_repo[[#This Row],[Salary]]/oct_repo[[#This Row],[Days]]</f>
        <v>0</v>
      </c>
      <c r="BD36" s="30">
        <f>oct_repo[[#This Row],[Per Day Salary]]*oct_repo[[#This Row],[Absent]]</f>
        <v>0</v>
      </c>
      <c r="BE36" s="30">
        <f>oct_repo[[#This Row],[Salary]]-oct_repo[[#This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 t="str">
        <f t="shared" si="14"/>
        <v>WO</v>
      </c>
      <c r="O37" s="15"/>
      <c r="P37" s="15"/>
      <c r="Q37" s="15"/>
      <c r="R37" s="15"/>
      <c r="S37" s="15"/>
      <c r="T37" s="15"/>
      <c r="U37" s="15" t="str">
        <f t="shared" si="14"/>
        <v>WO</v>
      </c>
      <c r="V37" s="15"/>
      <c r="W37" s="15"/>
      <c r="X37" s="15"/>
      <c r="Y37" s="15"/>
      <c r="Z37" s="15"/>
      <c r="AA37" s="15"/>
      <c r="AB37" s="15" t="str">
        <f t="shared" si="13"/>
        <v>WO</v>
      </c>
      <c r="AC37" s="15"/>
      <c r="AD37" s="15"/>
      <c r="AE37" s="15"/>
      <c r="AF37" s="15"/>
      <c r="AG37" s="15"/>
      <c r="AH37" s="15"/>
      <c r="AI37" s="15" t="str">
        <f t="shared" si="15"/>
        <v>WO</v>
      </c>
      <c r="AJ37" s="15"/>
      <c r="AK37" s="15"/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October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31</v>
      </c>
      <c r="BA37" s="30">
        <f>oct_repo[[#This Row],[Days]]-oct_repo[[#This Row],[Absent]]</f>
        <v>31</v>
      </c>
      <c r="BB37" s="31">
        <v>0</v>
      </c>
      <c r="BC37" s="32">
        <f>oct_repo[[#This Row],[Salary]]/oct_repo[[#This Row],[Days]]</f>
        <v>0</v>
      </c>
      <c r="BD37" s="30">
        <f>oct_repo[[#This Row],[Per Day Salary]]*oct_repo[[#This Row],[Absent]]</f>
        <v>0</v>
      </c>
      <c r="BE37" s="30">
        <f>oct_repo[[#This Row],[Salary]]-oct_repo[[#This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 t="str">
        <f t="shared" si="14"/>
        <v>WO</v>
      </c>
      <c r="O38" s="21"/>
      <c r="P38" s="21"/>
      <c r="Q38" s="21"/>
      <c r="R38" s="21"/>
      <c r="S38" s="21"/>
      <c r="T38" s="21"/>
      <c r="U38" s="21" t="str">
        <f t="shared" si="14"/>
        <v>WO</v>
      </c>
      <c r="V38" s="21"/>
      <c r="W38" s="21"/>
      <c r="X38" s="21"/>
      <c r="Y38" s="21"/>
      <c r="Z38" s="21"/>
      <c r="AA38" s="21"/>
      <c r="AB38" s="21" t="str">
        <f t="shared" si="13"/>
        <v>WO</v>
      </c>
      <c r="AC38" s="21"/>
      <c r="AD38" s="21"/>
      <c r="AE38" s="21"/>
      <c r="AF38" s="21"/>
      <c r="AG38" s="21"/>
      <c r="AH38" s="21"/>
      <c r="AI38" s="21" t="str">
        <f t="shared" si="15"/>
        <v>WO</v>
      </c>
      <c r="AJ38" s="21"/>
      <c r="AK38" s="21"/>
      <c r="AL38" s="21"/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October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31</v>
      </c>
      <c r="BA38" s="30">
        <f>oct_repo[[#This Row],[Days]]-oct_repo[[#This Row],[Absent]]</f>
        <v>31</v>
      </c>
      <c r="BB38" s="31">
        <v>0</v>
      </c>
      <c r="BC38" s="32">
        <f>oct_repo[[#This Row],[Salary]]/oct_repo[[#This Row],[Days]]</f>
        <v>0</v>
      </c>
      <c r="BD38" s="30">
        <f>oct_repo[[#This Row],[Per Day Salary]]*oct_repo[[#This Row],[Absent]]</f>
        <v>0</v>
      </c>
      <c r="BE38" s="30">
        <f>oct_repo[[#This Row],[Salary]]-oct_repo[[#This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92" priority="12" operator="containsText" text="WO">
      <formula>NOT(ISERROR(SEARCH("WO",H5)))</formula>
    </cfRule>
  </conditionalFormatting>
  <conditionalFormatting sqref="K9">
    <cfRule type="containsText" dxfId="91" priority="5" operator="containsText" text="L">
      <formula>NOT(ISERROR(SEARCH("L",K9)))</formula>
    </cfRule>
    <cfRule type="containsText" dxfId="90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89" priority="9" operator="containsText" text="WO">
      <formula>NOT(ISERROR(SEARCH("WO",A1)))</formula>
    </cfRule>
    <cfRule type="containsText" dxfId="88" priority="10" operator="containsText" text="WO">
      <formula>NOT(ISERROR(SEARCH("WO",A1)))</formula>
    </cfRule>
  </conditionalFormatting>
  <conditionalFormatting sqref="K9:AO38">
    <cfRule type="containsText" dxfId="87" priority="6" operator="containsText" text="L">
      <formula>NOT(ISERROR(SEARCH("L",K9)))</formula>
    </cfRule>
    <cfRule type="containsText" dxfId="86" priority="7" operator="containsText" text="A">
      <formula>NOT(ISERROR(SEARCH("A",K9)))</formula>
    </cfRule>
    <cfRule type="containsText" dxfId="85" priority="8" operator="containsText" text="P">
      <formula>NOT(ISERROR(SEARCH("P",K9)))</formula>
    </cfRule>
  </conditionalFormatting>
  <conditionalFormatting sqref="BB9:BB38">
    <cfRule type="containsText" dxfId="84" priority="3" operator="containsText" text="WO">
      <formula>NOT(ISERROR(SEARCH("WO",BB9)))</formula>
    </cfRule>
    <cfRule type="containsText" dxfId="83" priority="4" operator="containsText" text="WO">
      <formula>NOT(ISERROR(SEARCH("WO",BB9)))</formula>
    </cfRule>
  </conditionalFormatting>
  <conditionalFormatting sqref="I9:I12">
    <cfRule type="containsText" dxfId="82" priority="1" operator="containsText" text="WO">
      <formula>NOT(ISERROR(SEARCH("WO",I9)))</formula>
    </cfRule>
    <cfRule type="containsText" dxfId="81" priority="2" operator="containsText" text="WO">
      <formula>NOT(ISERROR(SEARCH("WO",I9)))</formula>
    </cfRule>
  </conditionalFormatting>
  <dataValidations count="1">
    <dataValidation type="list" allowBlank="1" showInputMessage="1" showErrorMessage="1" sqref="K9:M38 O9:T38 V9:AA38 AC9:AH38 AJ9:AO38" xr:uid="{00000000-0002-0000-09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900-000009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OCT!AV9:AY9</xm:f>
              <xm:sqref>BF9</xm:sqref>
            </x14:sparkline>
            <x14:sparkline>
              <xm:f>OCT!AV10:AY10</xm:f>
              <xm:sqref>BF10</xm:sqref>
            </x14:sparkline>
            <x14:sparkline>
              <xm:f>OCT!AV11:AY11</xm:f>
              <xm:sqref>BF11</xm:sqref>
            </x14:sparkline>
            <x14:sparkline>
              <xm:f>OCT!AV12:AY12</xm:f>
              <xm:sqref>BF12</xm:sqref>
            </x14:sparkline>
            <x14:sparkline>
              <xm:f>OCT!AV13:AY13</xm:f>
              <xm:sqref>BF13</xm:sqref>
            </x14:sparkline>
            <x14:sparkline>
              <xm:f>OCT!AV14:AY14</xm:f>
              <xm:sqref>BF14</xm:sqref>
            </x14:sparkline>
            <x14:sparkline>
              <xm:f>OCT!AV15:AY15</xm:f>
              <xm:sqref>BF15</xm:sqref>
            </x14:sparkline>
            <x14:sparkline>
              <xm:f>OCT!AV16:AY16</xm:f>
              <xm:sqref>BF16</xm:sqref>
            </x14:sparkline>
            <x14:sparkline>
              <xm:f>OCT!AV17:AY17</xm:f>
              <xm:sqref>BF17</xm:sqref>
            </x14:sparkline>
            <x14:sparkline>
              <xm:f>OCT!AV18:AY18</xm:f>
              <xm:sqref>BF18</xm:sqref>
            </x14:sparkline>
            <x14:sparkline>
              <xm:f>OCT!AV19:AY19</xm:f>
              <xm:sqref>BF19</xm:sqref>
            </x14:sparkline>
            <x14:sparkline>
              <xm:f>OCT!AV20:AY20</xm:f>
              <xm:sqref>BF20</xm:sqref>
            </x14:sparkline>
            <x14:sparkline>
              <xm:f>OCT!AV21:AY21</xm:f>
              <xm:sqref>BF21</xm:sqref>
            </x14:sparkline>
            <x14:sparkline>
              <xm:f>OCT!AV22:AY22</xm:f>
              <xm:sqref>BF22</xm:sqref>
            </x14:sparkline>
            <x14:sparkline>
              <xm:f>OCT!AV23:AY23</xm:f>
              <xm:sqref>BF23</xm:sqref>
            </x14:sparkline>
            <x14:sparkline>
              <xm:f>OCT!AV24:AY24</xm:f>
              <xm:sqref>BF24</xm:sqref>
            </x14:sparkline>
            <x14:sparkline>
              <xm:f>OCT!AV25:AY25</xm:f>
              <xm:sqref>BF25</xm:sqref>
            </x14:sparkline>
            <x14:sparkline>
              <xm:f>OCT!AV26:AY26</xm:f>
              <xm:sqref>BF26</xm:sqref>
            </x14:sparkline>
            <x14:sparkline>
              <xm:f>OCT!AV27:AY27</xm:f>
              <xm:sqref>BF27</xm:sqref>
            </x14:sparkline>
            <x14:sparkline>
              <xm:f>OCT!AV28:AY28</xm:f>
              <xm:sqref>BF28</xm:sqref>
            </x14:sparkline>
            <x14:sparkline>
              <xm:f>OCT!AV29:AY29</xm:f>
              <xm:sqref>BF29</xm:sqref>
            </x14:sparkline>
            <x14:sparkline>
              <xm:f>OCT!AV30:AY30</xm:f>
              <xm:sqref>BF30</xm:sqref>
            </x14:sparkline>
            <x14:sparkline>
              <xm:f>OCT!AV31:AY31</xm:f>
              <xm:sqref>BF31</xm:sqref>
            </x14:sparkline>
            <x14:sparkline>
              <xm:f>OCT!AV32:AY32</xm:f>
              <xm:sqref>BF32</xm:sqref>
            </x14:sparkline>
            <x14:sparkline>
              <xm:f>OCT!AV33:AY33</xm:f>
              <xm:sqref>BF33</xm:sqref>
            </x14:sparkline>
            <x14:sparkline>
              <xm:f>OCT!AV34:AY34</xm:f>
              <xm:sqref>BF34</xm:sqref>
            </x14:sparkline>
            <x14:sparkline>
              <xm:f>OCT!AV35:AY35</xm:f>
              <xm:sqref>BF35</xm:sqref>
            </x14:sparkline>
            <x14:sparkline>
              <xm:f>OCT!AV36:AY36</xm:f>
              <xm:sqref>BF36</xm:sqref>
            </x14:sparkline>
            <x14:sparkline>
              <xm:f>OCT!AV37:AY37</xm:f>
              <xm:sqref>BF37</xm:sqref>
            </x14:sparkline>
            <x14:sparkline>
              <xm:f>OCT!AV38:AY38</xm:f>
              <xm:sqref>BF38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Z163"/>
  <sheetViews>
    <sheetView topLeftCell="AE17" zoomScale="130" zoomScaleNormal="13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46327</v>
      </c>
      <c r="I5" s="42">
        <f>(DATEDIF($H$5,$L$5,"D"))+1</f>
        <v>30</v>
      </c>
      <c r="J5" s="42" t="str">
        <f>TEXT(H5,"MMMM")</f>
        <v>November</v>
      </c>
      <c r="K5" s="42" t="s">
        <v>64</v>
      </c>
      <c r="L5" s="46">
        <f>EOMONTH(H5,0)</f>
        <v>46356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Sun</v>
      </c>
      <c r="L7" s="4" t="str">
        <f t="shared" ref="L7:AO7" si="0">TEXT(L8,"DDD")</f>
        <v>Mon</v>
      </c>
      <c r="M7" s="4" t="str">
        <f t="shared" si="0"/>
        <v>Tue</v>
      </c>
      <c r="N7" s="4" t="str">
        <f t="shared" si="0"/>
        <v>Wed</v>
      </c>
      <c r="O7" s="4" t="str">
        <f t="shared" si="0"/>
        <v>Thu</v>
      </c>
      <c r="P7" s="4" t="str">
        <f t="shared" si="0"/>
        <v>Fri</v>
      </c>
      <c r="Q7" s="4" t="str">
        <f t="shared" si="0"/>
        <v>Sat</v>
      </c>
      <c r="R7" s="4" t="str">
        <f t="shared" si="0"/>
        <v>Sun</v>
      </c>
      <c r="S7" s="4" t="str">
        <f t="shared" si="0"/>
        <v>Mon</v>
      </c>
      <c r="T7" s="4" t="str">
        <f t="shared" si="0"/>
        <v>Tue</v>
      </c>
      <c r="U7" s="4" t="str">
        <f t="shared" si="0"/>
        <v>Wed</v>
      </c>
      <c r="V7" s="4" t="str">
        <f t="shared" si="0"/>
        <v>Thu</v>
      </c>
      <c r="W7" s="4" t="str">
        <f t="shared" si="0"/>
        <v>Fri</v>
      </c>
      <c r="X7" s="4" t="str">
        <f t="shared" si="0"/>
        <v>Sat</v>
      </c>
      <c r="Y7" s="4" t="str">
        <f t="shared" si="0"/>
        <v>Sun</v>
      </c>
      <c r="Z7" s="4" t="str">
        <f t="shared" si="0"/>
        <v>Mon</v>
      </c>
      <c r="AA7" s="4" t="str">
        <f t="shared" si="0"/>
        <v>Tue</v>
      </c>
      <c r="AB7" s="4" t="str">
        <f t="shared" si="0"/>
        <v>Wed</v>
      </c>
      <c r="AC7" s="4" t="str">
        <f t="shared" si="0"/>
        <v>Thu</v>
      </c>
      <c r="AD7" s="4" t="str">
        <f t="shared" si="0"/>
        <v>Fri</v>
      </c>
      <c r="AE7" s="4" t="str">
        <f t="shared" si="0"/>
        <v>Sat</v>
      </c>
      <c r="AF7" s="4" t="str">
        <f t="shared" si="0"/>
        <v>Sun</v>
      </c>
      <c r="AG7" s="4" t="str">
        <f t="shared" si="0"/>
        <v>Mon</v>
      </c>
      <c r="AH7" s="4" t="str">
        <f t="shared" si="0"/>
        <v>Tue</v>
      </c>
      <c r="AI7" s="4" t="str">
        <f t="shared" si="0"/>
        <v>Wed</v>
      </c>
      <c r="AJ7" s="4" t="str">
        <f t="shared" si="0"/>
        <v>Thu</v>
      </c>
      <c r="AK7" s="4" t="str">
        <f t="shared" si="0"/>
        <v>Fri</v>
      </c>
      <c r="AL7" s="4" t="str">
        <f t="shared" si="0"/>
        <v>Sat</v>
      </c>
      <c r="AM7" s="4" t="str">
        <f t="shared" si="0"/>
        <v>Sun</v>
      </c>
      <c r="AN7" s="4" t="str">
        <f t="shared" si="0"/>
        <v>Mon</v>
      </c>
      <c r="AO7" s="4" t="str">
        <f t="shared" si="0"/>
        <v>Tue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46327</v>
      </c>
      <c r="L8" s="9">
        <f>IF(K8&lt;$L$5,K8+1,"")</f>
        <v>46328</v>
      </c>
      <c r="M8" s="9">
        <f t="shared" ref="M8:AM8" si="1">IF(L8&lt;$L$5,L8+1,"")</f>
        <v>46329</v>
      </c>
      <c r="N8" s="9">
        <f t="shared" si="1"/>
        <v>46330</v>
      </c>
      <c r="O8" s="9">
        <f t="shared" si="1"/>
        <v>46331</v>
      </c>
      <c r="P8" s="9">
        <f t="shared" si="1"/>
        <v>46332</v>
      </c>
      <c r="Q8" s="9">
        <f t="shared" si="1"/>
        <v>46333</v>
      </c>
      <c r="R8" s="9">
        <f t="shared" si="1"/>
        <v>46334</v>
      </c>
      <c r="S8" s="9">
        <f t="shared" si="1"/>
        <v>46335</v>
      </c>
      <c r="T8" s="9">
        <f t="shared" si="1"/>
        <v>46336</v>
      </c>
      <c r="U8" s="9">
        <f t="shared" si="1"/>
        <v>46337</v>
      </c>
      <c r="V8" s="9">
        <f t="shared" si="1"/>
        <v>46338</v>
      </c>
      <c r="W8" s="9">
        <f t="shared" si="1"/>
        <v>46339</v>
      </c>
      <c r="X8" s="9">
        <f t="shared" si="1"/>
        <v>46340</v>
      </c>
      <c r="Y8" s="9">
        <f t="shared" si="1"/>
        <v>46341</v>
      </c>
      <c r="Z8" s="9">
        <f t="shared" si="1"/>
        <v>46342</v>
      </c>
      <c r="AA8" s="9">
        <f t="shared" si="1"/>
        <v>46343</v>
      </c>
      <c r="AB8" s="9">
        <f t="shared" si="1"/>
        <v>46344</v>
      </c>
      <c r="AC8" s="9">
        <f t="shared" si="1"/>
        <v>46345</v>
      </c>
      <c r="AD8" s="9">
        <f t="shared" si="1"/>
        <v>46346</v>
      </c>
      <c r="AE8" s="9">
        <f t="shared" si="1"/>
        <v>46347</v>
      </c>
      <c r="AF8" s="9">
        <f t="shared" si="1"/>
        <v>46348</v>
      </c>
      <c r="AG8" s="9">
        <f t="shared" si="1"/>
        <v>46349</v>
      </c>
      <c r="AH8" s="9">
        <f t="shared" si="1"/>
        <v>46350</v>
      </c>
      <c r="AI8" s="9">
        <f t="shared" si="1"/>
        <v>46351</v>
      </c>
      <c r="AJ8" s="9">
        <f t="shared" si="1"/>
        <v>46352</v>
      </c>
      <c r="AK8" s="9">
        <f t="shared" si="1"/>
        <v>46353</v>
      </c>
      <c r="AL8" s="9">
        <f t="shared" si="1"/>
        <v>46354</v>
      </c>
      <c r="AM8" s="9">
        <f t="shared" si="1"/>
        <v>46355</v>
      </c>
      <c r="AN8" s="9">
        <f t="shared" ref="AN8:AO8" si="2">IF(AM8&lt;=$L$5,AM8+1,"")</f>
        <v>46356</v>
      </c>
      <c r="AO8" s="10">
        <f t="shared" si="2"/>
        <v>46357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5</v>
      </c>
      <c r="K9" s="15" t="str">
        <f>IF(K$7="Sun","WO","")</f>
        <v>WO</v>
      </c>
      <c r="L9" s="15"/>
      <c r="M9" s="15"/>
      <c r="N9" s="15"/>
      <c r="O9" s="15"/>
      <c r="P9" s="15"/>
      <c r="Q9" s="15"/>
      <c r="R9" s="15" t="str">
        <f t="shared" ref="R9:AM17" si="3">IF(R$7="Sun","WO","")</f>
        <v>WO</v>
      </c>
      <c r="S9" s="15"/>
      <c r="T9" s="15"/>
      <c r="U9" s="15"/>
      <c r="V9" s="15"/>
      <c r="W9" s="15"/>
      <c r="X9" s="15"/>
      <c r="Y9" s="15" t="str">
        <f t="shared" si="3"/>
        <v>WO</v>
      </c>
      <c r="Z9" s="15"/>
      <c r="AA9" s="15"/>
      <c r="AB9" s="15"/>
      <c r="AC9" s="15"/>
      <c r="AD9" s="15"/>
      <c r="AE9" s="15"/>
      <c r="AF9" s="15" t="str">
        <f t="shared" si="3"/>
        <v>WO</v>
      </c>
      <c r="AG9" s="15"/>
      <c r="AH9" s="15"/>
      <c r="AI9" s="15"/>
      <c r="AJ9" s="15"/>
      <c r="AK9" s="15"/>
      <c r="AL9" s="15"/>
      <c r="AM9" s="15" t="str">
        <f t="shared" si="3"/>
        <v>WO</v>
      </c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November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5</v>
      </c>
      <c r="AZ9" s="30">
        <f t="shared" ref="AZ9:AZ38" si="9">$I$5</f>
        <v>30</v>
      </c>
      <c r="BA9" s="30">
        <f>nov_repo[[#This Row],[Days]]-nov_repo[[#This Row],[Absent]]</f>
        <v>30</v>
      </c>
      <c r="BB9" s="31">
        <v>11000</v>
      </c>
      <c r="BC9" s="32">
        <f>nov_repo[[#This Row],[Salary]]/nov_repo[[#This Row],[Days]]</f>
        <v>366.66666666666669</v>
      </c>
      <c r="BD9" s="30">
        <f>nov_repo[[#This Row],[Per Day Salary]]*nov_repo[[#This Row],[Absent]]</f>
        <v>0</v>
      </c>
      <c r="BE9" s="30">
        <f>nov_repo[[#This Row],[Salary]]-nov_repo[[#This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5</v>
      </c>
      <c r="K10" s="15" t="str">
        <f t="shared" ref="K10:Y33" si="10">IF(K$7="Sun","WO","")</f>
        <v>WO</v>
      </c>
      <c r="L10" s="15"/>
      <c r="M10" s="15"/>
      <c r="N10" s="15"/>
      <c r="O10" s="15"/>
      <c r="P10" s="15"/>
      <c r="Q10" s="15"/>
      <c r="R10" s="15" t="str">
        <f t="shared" si="3"/>
        <v>WO</v>
      </c>
      <c r="S10" s="15"/>
      <c r="T10" s="15"/>
      <c r="U10" s="15"/>
      <c r="V10" s="15"/>
      <c r="W10" s="15"/>
      <c r="X10" s="15"/>
      <c r="Y10" s="15" t="str">
        <f t="shared" si="3"/>
        <v>WO</v>
      </c>
      <c r="Z10" s="15"/>
      <c r="AA10" s="15"/>
      <c r="AB10" s="15"/>
      <c r="AC10" s="15"/>
      <c r="AD10" s="15"/>
      <c r="AE10" s="15"/>
      <c r="AF10" s="15" t="str">
        <f t="shared" si="3"/>
        <v>WO</v>
      </c>
      <c r="AG10" s="15"/>
      <c r="AH10" s="15"/>
      <c r="AI10" s="15"/>
      <c r="AJ10" s="15"/>
      <c r="AK10" s="15"/>
      <c r="AL10" s="15"/>
      <c r="AM10" s="15" t="str">
        <f t="shared" si="3"/>
        <v>WO</v>
      </c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November</v>
      </c>
      <c r="AU10" s="29" t="str">
        <f t="shared" ref="AU10:AU38" si="11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5</v>
      </c>
      <c r="AZ10" s="30">
        <f t="shared" si="9"/>
        <v>30</v>
      </c>
      <c r="BA10" s="30">
        <f>nov_repo[[#This Row],[Days]]-nov_repo[[#This Row],[Absent]]</f>
        <v>30</v>
      </c>
      <c r="BB10" s="31">
        <v>11000</v>
      </c>
      <c r="BC10" s="32">
        <f>nov_repo[[#This Row],[Salary]]/nov_repo[[#This Row],[Days]]</f>
        <v>366.66666666666669</v>
      </c>
      <c r="BD10" s="30">
        <f>nov_repo[[#This Row],[Per Day Salary]]*nov_repo[[#This Row],[Absent]]</f>
        <v>0</v>
      </c>
      <c r="BE10" s="30">
        <f>nov_repo[[#This Row],[Salary]]-nov_repo[[#This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5</v>
      </c>
      <c r="K11" s="15" t="str">
        <f t="shared" si="10"/>
        <v>WO</v>
      </c>
      <c r="L11" s="15"/>
      <c r="M11" s="15"/>
      <c r="N11" s="15"/>
      <c r="O11" s="15"/>
      <c r="P11" s="15"/>
      <c r="Q11" s="15"/>
      <c r="R11" s="15" t="str">
        <f t="shared" si="3"/>
        <v>WO</v>
      </c>
      <c r="S11" s="15"/>
      <c r="T11" s="15"/>
      <c r="U11" s="15"/>
      <c r="V11" s="15"/>
      <c r="W11" s="15"/>
      <c r="X11" s="15"/>
      <c r="Y11" s="15" t="str">
        <f t="shared" si="3"/>
        <v>WO</v>
      </c>
      <c r="Z11" s="15"/>
      <c r="AA11" s="15"/>
      <c r="AB11" s="15"/>
      <c r="AC11" s="15"/>
      <c r="AD11" s="15"/>
      <c r="AE11" s="15"/>
      <c r="AF11" s="15" t="str">
        <f t="shared" si="3"/>
        <v>WO</v>
      </c>
      <c r="AG11" s="15"/>
      <c r="AH11" s="15"/>
      <c r="AI11" s="15"/>
      <c r="AJ11" s="15"/>
      <c r="AK11" s="15"/>
      <c r="AL11" s="15"/>
      <c r="AM11" s="15" t="str">
        <f t="shared" si="3"/>
        <v>WO</v>
      </c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November</v>
      </c>
      <c r="AU11" s="29" t="str">
        <f t="shared" si="11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5</v>
      </c>
      <c r="AZ11" s="30">
        <f t="shared" si="9"/>
        <v>30</v>
      </c>
      <c r="BA11" s="30">
        <f>nov_repo[[#This Row],[Days]]-nov_repo[[#This Row],[Absent]]</f>
        <v>30</v>
      </c>
      <c r="BB11" s="31">
        <v>11000</v>
      </c>
      <c r="BC11" s="32">
        <f>nov_repo[[#This Row],[Salary]]/nov_repo[[#This Row],[Days]]</f>
        <v>366.66666666666669</v>
      </c>
      <c r="BD11" s="30">
        <f>nov_repo[[#This Row],[Per Day Salary]]*nov_repo[[#This Row],[Absent]]</f>
        <v>0</v>
      </c>
      <c r="BE11" s="30">
        <f>nov_repo[[#This Row],[Salary]]-nov_repo[[#This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5</v>
      </c>
      <c r="K12" s="15" t="str">
        <f t="shared" si="10"/>
        <v>WO</v>
      </c>
      <c r="L12" s="15"/>
      <c r="M12" s="15"/>
      <c r="N12" s="15"/>
      <c r="O12" s="15"/>
      <c r="P12" s="15"/>
      <c r="Q12" s="15"/>
      <c r="R12" s="15" t="str">
        <f t="shared" si="3"/>
        <v>WO</v>
      </c>
      <c r="S12" s="15"/>
      <c r="T12" s="15"/>
      <c r="U12" s="15"/>
      <c r="V12" s="15"/>
      <c r="W12" s="15"/>
      <c r="X12" s="15"/>
      <c r="Y12" s="15" t="str">
        <f t="shared" si="3"/>
        <v>WO</v>
      </c>
      <c r="Z12" s="15"/>
      <c r="AA12" s="15"/>
      <c r="AB12" s="15"/>
      <c r="AC12" s="15"/>
      <c r="AD12" s="15"/>
      <c r="AE12" s="15"/>
      <c r="AF12" s="15" t="str">
        <f t="shared" si="3"/>
        <v>WO</v>
      </c>
      <c r="AG12" s="15"/>
      <c r="AH12" s="15"/>
      <c r="AI12" s="15"/>
      <c r="AJ12" s="15"/>
      <c r="AK12" s="15"/>
      <c r="AL12" s="15"/>
      <c r="AM12" s="15" t="str">
        <f t="shared" si="3"/>
        <v>WO</v>
      </c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November</v>
      </c>
      <c r="AU12" s="29" t="str">
        <f t="shared" si="11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5</v>
      </c>
      <c r="AZ12" s="30">
        <f t="shared" si="9"/>
        <v>30</v>
      </c>
      <c r="BA12" s="30">
        <f>nov_repo[[#This Row],[Days]]-nov_repo[[#This Row],[Absent]]</f>
        <v>30</v>
      </c>
      <c r="BB12" s="31">
        <v>11000</v>
      </c>
      <c r="BC12" s="32">
        <f>nov_repo[[#This Row],[Salary]]/nov_repo[[#This Row],[Days]]</f>
        <v>366.66666666666669</v>
      </c>
      <c r="BD12" s="30">
        <f>nov_repo[[#This Row],[Per Day Salary]]*nov_repo[[#This Row],[Absent]]</f>
        <v>0</v>
      </c>
      <c r="BE12" s="30">
        <f>nov_repo[[#This Row],[Salary]]-nov_repo[[#This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5</v>
      </c>
      <c r="K13" s="15" t="str">
        <f t="shared" si="10"/>
        <v>WO</v>
      </c>
      <c r="L13" s="15"/>
      <c r="M13" s="15"/>
      <c r="N13" s="15"/>
      <c r="O13" s="15"/>
      <c r="P13" s="15"/>
      <c r="Q13" s="15"/>
      <c r="R13" s="15" t="str">
        <f t="shared" si="3"/>
        <v>WO</v>
      </c>
      <c r="S13" s="15"/>
      <c r="T13" s="15"/>
      <c r="U13" s="15"/>
      <c r="V13" s="15"/>
      <c r="W13" s="15"/>
      <c r="X13" s="15"/>
      <c r="Y13" s="15" t="str">
        <f t="shared" si="3"/>
        <v>WO</v>
      </c>
      <c r="Z13" s="15"/>
      <c r="AA13" s="15"/>
      <c r="AB13" s="15"/>
      <c r="AC13" s="15"/>
      <c r="AD13" s="15"/>
      <c r="AE13" s="15"/>
      <c r="AF13" s="15" t="str">
        <f t="shared" si="3"/>
        <v>WO</v>
      </c>
      <c r="AG13" s="15"/>
      <c r="AH13" s="15"/>
      <c r="AI13" s="15"/>
      <c r="AJ13" s="15"/>
      <c r="AK13" s="15"/>
      <c r="AL13" s="15"/>
      <c r="AM13" s="15" t="str">
        <f t="shared" si="3"/>
        <v>WO</v>
      </c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November</v>
      </c>
      <c r="AU13" s="29" t="str">
        <f t="shared" si="11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5</v>
      </c>
      <c r="AZ13" s="30">
        <f t="shared" si="9"/>
        <v>30</v>
      </c>
      <c r="BA13" s="30">
        <f>nov_repo[[#This Row],[Days]]-nov_repo[[#This Row],[Absent]]</f>
        <v>30</v>
      </c>
      <c r="BB13" s="31">
        <v>0</v>
      </c>
      <c r="BC13" s="32">
        <f>nov_repo[[#This Row],[Salary]]/nov_repo[[#This Row],[Days]]</f>
        <v>0</v>
      </c>
      <c r="BD13" s="30">
        <f>nov_repo[[#This Row],[Per Day Salary]]*nov_repo[[#This Row],[Absent]]</f>
        <v>0</v>
      </c>
      <c r="BE13" s="30">
        <f>nov_repo[[#This Row],[Salary]]-nov_repo[[#This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5</v>
      </c>
      <c r="K14" s="15" t="str">
        <f t="shared" si="10"/>
        <v>WO</v>
      </c>
      <c r="L14" s="15"/>
      <c r="M14" s="15"/>
      <c r="N14" s="15"/>
      <c r="O14" s="15"/>
      <c r="P14" s="15"/>
      <c r="Q14" s="15"/>
      <c r="R14" s="15" t="str">
        <f t="shared" si="3"/>
        <v>WO</v>
      </c>
      <c r="S14" s="15"/>
      <c r="T14" s="15"/>
      <c r="U14" s="15"/>
      <c r="V14" s="15"/>
      <c r="W14" s="15"/>
      <c r="X14" s="15"/>
      <c r="Y14" s="15" t="str">
        <f t="shared" si="3"/>
        <v>WO</v>
      </c>
      <c r="Z14" s="15"/>
      <c r="AA14" s="15"/>
      <c r="AB14" s="15"/>
      <c r="AC14" s="15"/>
      <c r="AD14" s="15"/>
      <c r="AE14" s="15"/>
      <c r="AF14" s="15" t="str">
        <f t="shared" si="3"/>
        <v>WO</v>
      </c>
      <c r="AG14" s="15"/>
      <c r="AH14" s="15"/>
      <c r="AI14" s="15"/>
      <c r="AJ14" s="15"/>
      <c r="AK14" s="15"/>
      <c r="AL14" s="15"/>
      <c r="AM14" s="15" t="str">
        <f t="shared" si="3"/>
        <v>WO</v>
      </c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November</v>
      </c>
      <c r="AU14" s="29" t="str">
        <f t="shared" si="11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5</v>
      </c>
      <c r="AZ14" s="30">
        <f t="shared" si="9"/>
        <v>30</v>
      </c>
      <c r="BA14" s="30">
        <f>nov_repo[[#This Row],[Days]]-nov_repo[[#This Row],[Absent]]</f>
        <v>30</v>
      </c>
      <c r="BB14" s="31">
        <v>0</v>
      </c>
      <c r="BC14" s="32">
        <f>nov_repo[[#This Row],[Salary]]/nov_repo[[#This Row],[Days]]</f>
        <v>0</v>
      </c>
      <c r="BD14" s="30">
        <f>nov_repo[[#This Row],[Per Day Salary]]*nov_repo[[#This Row],[Absent]]</f>
        <v>0</v>
      </c>
      <c r="BE14" s="30">
        <f>nov_repo[[#This Row],[Salary]]-nov_repo[[#This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5</v>
      </c>
      <c r="K15" s="15" t="str">
        <f t="shared" si="10"/>
        <v>WO</v>
      </c>
      <c r="L15" s="15"/>
      <c r="M15" s="15"/>
      <c r="N15" s="15"/>
      <c r="O15" s="15"/>
      <c r="P15" s="15"/>
      <c r="Q15" s="15"/>
      <c r="R15" s="15" t="str">
        <f t="shared" si="3"/>
        <v>WO</v>
      </c>
      <c r="S15" s="15"/>
      <c r="T15" s="15"/>
      <c r="U15" s="15"/>
      <c r="V15" s="15"/>
      <c r="W15" s="15"/>
      <c r="X15" s="15"/>
      <c r="Y15" s="15" t="str">
        <f t="shared" si="3"/>
        <v>WO</v>
      </c>
      <c r="Z15" s="15"/>
      <c r="AA15" s="15"/>
      <c r="AB15" s="15"/>
      <c r="AC15" s="15"/>
      <c r="AD15" s="15"/>
      <c r="AE15" s="15"/>
      <c r="AF15" s="15" t="str">
        <f t="shared" si="3"/>
        <v>WO</v>
      </c>
      <c r="AG15" s="15"/>
      <c r="AH15" s="15"/>
      <c r="AI15" s="15"/>
      <c r="AJ15" s="15"/>
      <c r="AK15" s="15"/>
      <c r="AL15" s="15"/>
      <c r="AM15" s="15" t="str">
        <f t="shared" si="3"/>
        <v>WO</v>
      </c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November</v>
      </c>
      <c r="AU15" s="29" t="str">
        <f t="shared" si="11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5</v>
      </c>
      <c r="AZ15" s="30">
        <f t="shared" si="9"/>
        <v>30</v>
      </c>
      <c r="BA15" s="30">
        <f>nov_repo[[#This Row],[Days]]-nov_repo[[#This Row],[Absent]]</f>
        <v>30</v>
      </c>
      <c r="BB15" s="31">
        <v>0</v>
      </c>
      <c r="BC15" s="32">
        <f>nov_repo[[#This Row],[Salary]]/nov_repo[[#This Row],[Days]]</f>
        <v>0</v>
      </c>
      <c r="BD15" s="30">
        <f>nov_repo[[#This Row],[Per Day Salary]]*nov_repo[[#This Row],[Absent]]</f>
        <v>0</v>
      </c>
      <c r="BE15" s="30">
        <f>nov_repo[[#This Row],[Salary]]-nov_repo[[#This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5</v>
      </c>
      <c r="K16" s="15" t="str">
        <f t="shared" si="10"/>
        <v>WO</v>
      </c>
      <c r="L16" s="15"/>
      <c r="M16" s="15"/>
      <c r="N16" s="15"/>
      <c r="O16" s="15"/>
      <c r="P16" s="15"/>
      <c r="Q16" s="15"/>
      <c r="R16" s="15" t="str">
        <f t="shared" si="3"/>
        <v>WO</v>
      </c>
      <c r="S16" s="15"/>
      <c r="T16" s="15"/>
      <c r="U16" s="15"/>
      <c r="V16" s="15"/>
      <c r="W16" s="15"/>
      <c r="X16" s="15"/>
      <c r="Y16" s="15" t="str">
        <f t="shared" si="3"/>
        <v>WO</v>
      </c>
      <c r="Z16" s="15"/>
      <c r="AA16" s="15"/>
      <c r="AB16" s="15"/>
      <c r="AC16" s="15"/>
      <c r="AD16" s="15"/>
      <c r="AE16" s="15"/>
      <c r="AF16" s="15" t="str">
        <f t="shared" si="3"/>
        <v>WO</v>
      </c>
      <c r="AG16" s="15"/>
      <c r="AH16" s="15"/>
      <c r="AI16" s="15"/>
      <c r="AJ16" s="15"/>
      <c r="AK16" s="15"/>
      <c r="AL16" s="15"/>
      <c r="AM16" s="15" t="str">
        <f t="shared" si="3"/>
        <v>WO</v>
      </c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November</v>
      </c>
      <c r="AU16" s="29" t="str">
        <f t="shared" si="11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5</v>
      </c>
      <c r="AZ16" s="30">
        <f t="shared" si="9"/>
        <v>30</v>
      </c>
      <c r="BA16" s="30">
        <f>nov_repo[[#This Row],[Days]]-nov_repo[[#This Row],[Absent]]</f>
        <v>30</v>
      </c>
      <c r="BB16" s="31">
        <v>0</v>
      </c>
      <c r="BC16" s="32">
        <f>nov_repo[[#This Row],[Salary]]/nov_repo[[#This Row],[Days]]</f>
        <v>0</v>
      </c>
      <c r="BD16" s="30">
        <f>nov_repo[[#This Row],[Per Day Salary]]*nov_repo[[#This Row],[Absent]]</f>
        <v>0</v>
      </c>
      <c r="BE16" s="30">
        <f>nov_repo[[#This Row],[Salary]]-nov_repo[[#This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5</v>
      </c>
      <c r="K17" s="15" t="str">
        <f t="shared" si="10"/>
        <v>WO</v>
      </c>
      <c r="L17" s="15"/>
      <c r="M17" s="15"/>
      <c r="N17" s="15"/>
      <c r="O17" s="15"/>
      <c r="P17" s="15"/>
      <c r="Q17" s="15"/>
      <c r="R17" s="15" t="str">
        <f t="shared" si="3"/>
        <v>WO</v>
      </c>
      <c r="S17" s="15"/>
      <c r="T17" s="15"/>
      <c r="U17" s="15"/>
      <c r="V17" s="15"/>
      <c r="W17" s="15"/>
      <c r="X17" s="15"/>
      <c r="Y17" s="15" t="str">
        <f t="shared" si="3"/>
        <v>WO</v>
      </c>
      <c r="Z17" s="15"/>
      <c r="AA17" s="15"/>
      <c r="AB17" s="15"/>
      <c r="AC17" s="15"/>
      <c r="AD17" s="15"/>
      <c r="AE17" s="15"/>
      <c r="AF17" s="15" t="str">
        <f t="shared" ref="AF17:AM34" si="12">IF(AF$7="Sun","WO","")</f>
        <v>WO</v>
      </c>
      <c r="AG17" s="15"/>
      <c r="AH17" s="15"/>
      <c r="AI17" s="15"/>
      <c r="AJ17" s="15"/>
      <c r="AK17" s="15"/>
      <c r="AL17" s="15"/>
      <c r="AM17" s="15" t="str">
        <f t="shared" si="12"/>
        <v>WO</v>
      </c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November</v>
      </c>
      <c r="AU17" s="29" t="str">
        <f t="shared" si="11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5</v>
      </c>
      <c r="AZ17" s="30">
        <f t="shared" si="9"/>
        <v>30</v>
      </c>
      <c r="BA17" s="30">
        <f>nov_repo[[#This Row],[Days]]-nov_repo[[#This Row],[Absent]]</f>
        <v>30</v>
      </c>
      <c r="BB17" s="31">
        <v>0</v>
      </c>
      <c r="BC17" s="32">
        <f>nov_repo[[#This Row],[Salary]]/nov_repo[[#This Row],[Days]]</f>
        <v>0</v>
      </c>
      <c r="BD17" s="30">
        <f>nov_repo[[#This Row],[Per Day Salary]]*nov_repo[[#This Row],[Absent]]</f>
        <v>0</v>
      </c>
      <c r="BE17" s="30">
        <f>nov_repo[[#This Row],[Salary]]-nov_repo[[#This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5</v>
      </c>
      <c r="K18" s="15" t="str">
        <f t="shared" si="10"/>
        <v>WO</v>
      </c>
      <c r="L18" s="15"/>
      <c r="M18" s="15"/>
      <c r="N18" s="15"/>
      <c r="O18" s="15"/>
      <c r="P18" s="15"/>
      <c r="Q18" s="15"/>
      <c r="R18" s="15" t="str">
        <f t="shared" si="10"/>
        <v>WO</v>
      </c>
      <c r="S18" s="15"/>
      <c r="T18" s="15"/>
      <c r="U18" s="15"/>
      <c r="V18" s="15"/>
      <c r="W18" s="15"/>
      <c r="X18" s="15"/>
      <c r="Y18" s="15" t="str">
        <f t="shared" si="10"/>
        <v>WO</v>
      </c>
      <c r="Z18" s="15"/>
      <c r="AA18" s="15"/>
      <c r="AB18" s="15"/>
      <c r="AC18" s="15"/>
      <c r="AD18" s="15"/>
      <c r="AE18" s="15"/>
      <c r="AF18" s="15" t="str">
        <f t="shared" si="12"/>
        <v>WO</v>
      </c>
      <c r="AG18" s="15"/>
      <c r="AH18" s="15"/>
      <c r="AI18" s="15"/>
      <c r="AJ18" s="15"/>
      <c r="AK18" s="15"/>
      <c r="AL18" s="15"/>
      <c r="AM18" s="15" t="str">
        <f t="shared" si="12"/>
        <v>WO</v>
      </c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November</v>
      </c>
      <c r="AU18" s="29" t="str">
        <f t="shared" si="11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5</v>
      </c>
      <c r="AZ18" s="30">
        <f t="shared" si="9"/>
        <v>30</v>
      </c>
      <c r="BA18" s="30">
        <f>nov_repo[[#This Row],[Days]]-nov_repo[[#This Row],[Absent]]</f>
        <v>30</v>
      </c>
      <c r="BB18" s="31">
        <v>0</v>
      </c>
      <c r="BC18" s="32">
        <f>nov_repo[[#This Row],[Salary]]/nov_repo[[#This Row],[Days]]</f>
        <v>0</v>
      </c>
      <c r="BD18" s="30">
        <f>nov_repo[[#This Row],[Per Day Salary]]*nov_repo[[#This Row],[Absent]]</f>
        <v>0</v>
      </c>
      <c r="BE18" s="30">
        <f>nov_repo[[#This Row],[Salary]]-nov_repo[[#This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5</v>
      </c>
      <c r="K19" s="15" t="str">
        <f t="shared" si="10"/>
        <v>WO</v>
      </c>
      <c r="L19" s="15"/>
      <c r="M19" s="15"/>
      <c r="N19" s="15"/>
      <c r="O19" s="15"/>
      <c r="P19" s="15"/>
      <c r="Q19" s="15"/>
      <c r="R19" s="15" t="str">
        <f t="shared" si="10"/>
        <v>WO</v>
      </c>
      <c r="S19" s="15"/>
      <c r="T19" s="15"/>
      <c r="U19" s="15"/>
      <c r="V19" s="15"/>
      <c r="W19" s="15"/>
      <c r="X19" s="15"/>
      <c r="Y19" s="15" t="str">
        <f t="shared" si="10"/>
        <v>WO</v>
      </c>
      <c r="Z19" s="15"/>
      <c r="AA19" s="15"/>
      <c r="AB19" s="15"/>
      <c r="AC19" s="15"/>
      <c r="AD19" s="15"/>
      <c r="AE19" s="15"/>
      <c r="AF19" s="15" t="str">
        <f t="shared" si="12"/>
        <v>WO</v>
      </c>
      <c r="AG19" s="15"/>
      <c r="AH19" s="15"/>
      <c r="AI19" s="15"/>
      <c r="AJ19" s="15"/>
      <c r="AK19" s="15"/>
      <c r="AL19" s="15"/>
      <c r="AM19" s="15" t="str">
        <f t="shared" si="12"/>
        <v>WO</v>
      </c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November</v>
      </c>
      <c r="AU19" s="29" t="str">
        <f t="shared" si="11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5</v>
      </c>
      <c r="AZ19" s="30">
        <f t="shared" si="9"/>
        <v>30</v>
      </c>
      <c r="BA19" s="30">
        <f>nov_repo[[#This Row],[Days]]-nov_repo[[#This Row],[Absent]]</f>
        <v>30</v>
      </c>
      <c r="BB19" s="31">
        <v>0</v>
      </c>
      <c r="BC19" s="32">
        <f>nov_repo[[#This Row],[Salary]]/nov_repo[[#This Row],[Days]]</f>
        <v>0</v>
      </c>
      <c r="BD19" s="30">
        <f>nov_repo[[#This Row],[Per Day Salary]]*nov_repo[[#This Row],[Absent]]</f>
        <v>0</v>
      </c>
      <c r="BE19" s="30">
        <f>nov_repo[[#This Row],[Salary]]-nov_repo[[#This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5</v>
      </c>
      <c r="K20" s="15" t="str">
        <f t="shared" si="10"/>
        <v>WO</v>
      </c>
      <c r="L20" s="15"/>
      <c r="M20" s="15"/>
      <c r="N20" s="15"/>
      <c r="O20" s="15"/>
      <c r="P20" s="15"/>
      <c r="Q20" s="15"/>
      <c r="R20" s="15" t="str">
        <f t="shared" si="10"/>
        <v>WO</v>
      </c>
      <c r="S20" s="15"/>
      <c r="T20" s="15"/>
      <c r="U20" s="15"/>
      <c r="V20" s="15"/>
      <c r="W20" s="15"/>
      <c r="X20" s="15"/>
      <c r="Y20" s="15" t="str">
        <f t="shared" si="10"/>
        <v>WO</v>
      </c>
      <c r="Z20" s="15"/>
      <c r="AA20" s="15"/>
      <c r="AB20" s="15"/>
      <c r="AC20" s="15"/>
      <c r="AD20" s="15"/>
      <c r="AE20" s="15"/>
      <c r="AF20" s="15" t="str">
        <f t="shared" si="12"/>
        <v>WO</v>
      </c>
      <c r="AG20" s="15"/>
      <c r="AH20" s="15"/>
      <c r="AI20" s="15"/>
      <c r="AJ20" s="15"/>
      <c r="AK20" s="15"/>
      <c r="AL20" s="15"/>
      <c r="AM20" s="15" t="str">
        <f t="shared" si="12"/>
        <v>WO</v>
      </c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November</v>
      </c>
      <c r="AU20" s="29" t="str">
        <f t="shared" si="11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5</v>
      </c>
      <c r="AZ20" s="30">
        <f t="shared" si="9"/>
        <v>30</v>
      </c>
      <c r="BA20" s="30">
        <f>nov_repo[[#This Row],[Days]]-nov_repo[[#This Row],[Absent]]</f>
        <v>30</v>
      </c>
      <c r="BB20" s="31">
        <v>0</v>
      </c>
      <c r="BC20" s="32">
        <f>nov_repo[[#This Row],[Salary]]/nov_repo[[#This Row],[Days]]</f>
        <v>0</v>
      </c>
      <c r="BD20" s="30">
        <f>nov_repo[[#This Row],[Per Day Salary]]*nov_repo[[#This Row],[Absent]]</f>
        <v>0</v>
      </c>
      <c r="BE20" s="30">
        <f>nov_repo[[#This Row],[Salary]]-nov_repo[[#This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5</v>
      </c>
      <c r="K21" s="15" t="str">
        <f t="shared" si="10"/>
        <v>WO</v>
      </c>
      <c r="L21" s="15"/>
      <c r="M21" s="15"/>
      <c r="N21" s="15"/>
      <c r="O21" s="15"/>
      <c r="P21" s="15"/>
      <c r="Q21" s="15"/>
      <c r="R21" s="15" t="str">
        <f t="shared" si="10"/>
        <v>WO</v>
      </c>
      <c r="S21" s="15"/>
      <c r="T21" s="15"/>
      <c r="U21" s="15"/>
      <c r="V21" s="15"/>
      <c r="W21" s="15"/>
      <c r="X21" s="15"/>
      <c r="Y21" s="15" t="str">
        <f t="shared" si="10"/>
        <v>WO</v>
      </c>
      <c r="Z21" s="15"/>
      <c r="AA21" s="15"/>
      <c r="AB21" s="15"/>
      <c r="AC21" s="15"/>
      <c r="AD21" s="15"/>
      <c r="AE21" s="15"/>
      <c r="AF21" s="15" t="str">
        <f t="shared" si="12"/>
        <v>WO</v>
      </c>
      <c r="AG21" s="15"/>
      <c r="AH21" s="15"/>
      <c r="AI21" s="15"/>
      <c r="AJ21" s="15"/>
      <c r="AK21" s="15"/>
      <c r="AL21" s="15"/>
      <c r="AM21" s="15" t="str">
        <f t="shared" si="12"/>
        <v>WO</v>
      </c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November</v>
      </c>
      <c r="AU21" s="29" t="str">
        <f t="shared" si="11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5</v>
      </c>
      <c r="AZ21" s="30">
        <f t="shared" si="9"/>
        <v>30</v>
      </c>
      <c r="BA21" s="30">
        <f>nov_repo[[#This Row],[Days]]-nov_repo[[#This Row],[Absent]]</f>
        <v>30</v>
      </c>
      <c r="BB21" s="31">
        <v>0</v>
      </c>
      <c r="BC21" s="32">
        <f>nov_repo[[#This Row],[Salary]]/nov_repo[[#This Row],[Days]]</f>
        <v>0</v>
      </c>
      <c r="BD21" s="30">
        <f>nov_repo[[#This Row],[Per Day Salary]]*nov_repo[[#This Row],[Absent]]</f>
        <v>0</v>
      </c>
      <c r="BE21" s="30">
        <f>nov_repo[[#This Row],[Salary]]-nov_repo[[#This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5</v>
      </c>
      <c r="K22" s="15" t="str">
        <f t="shared" si="10"/>
        <v>WO</v>
      </c>
      <c r="L22" s="15"/>
      <c r="M22" s="15"/>
      <c r="N22" s="15"/>
      <c r="O22" s="15"/>
      <c r="P22" s="15"/>
      <c r="Q22" s="15"/>
      <c r="R22" s="15" t="str">
        <f t="shared" si="10"/>
        <v>WO</v>
      </c>
      <c r="S22" s="15"/>
      <c r="T22" s="15"/>
      <c r="U22" s="15"/>
      <c r="V22" s="15"/>
      <c r="W22" s="15"/>
      <c r="X22" s="15"/>
      <c r="Y22" s="15" t="str">
        <f t="shared" si="10"/>
        <v>WO</v>
      </c>
      <c r="Z22" s="15"/>
      <c r="AA22" s="15"/>
      <c r="AB22" s="15"/>
      <c r="AC22" s="15"/>
      <c r="AD22" s="15"/>
      <c r="AE22" s="15"/>
      <c r="AF22" s="15" t="str">
        <f t="shared" si="12"/>
        <v>WO</v>
      </c>
      <c r="AG22" s="15"/>
      <c r="AH22" s="15"/>
      <c r="AI22" s="15"/>
      <c r="AJ22" s="15"/>
      <c r="AK22" s="15"/>
      <c r="AL22" s="15"/>
      <c r="AM22" s="15" t="str">
        <f t="shared" si="12"/>
        <v>WO</v>
      </c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November</v>
      </c>
      <c r="AU22" s="29" t="str">
        <f t="shared" si="11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5</v>
      </c>
      <c r="AZ22" s="30">
        <f t="shared" si="9"/>
        <v>30</v>
      </c>
      <c r="BA22" s="30">
        <f>nov_repo[[#This Row],[Days]]-nov_repo[[#This Row],[Absent]]</f>
        <v>30</v>
      </c>
      <c r="BB22" s="31">
        <v>0</v>
      </c>
      <c r="BC22" s="32">
        <f>nov_repo[[#This Row],[Salary]]/nov_repo[[#This Row],[Days]]</f>
        <v>0</v>
      </c>
      <c r="BD22" s="30">
        <f>nov_repo[[#This Row],[Per Day Salary]]*nov_repo[[#This Row],[Absent]]</f>
        <v>0</v>
      </c>
      <c r="BE22" s="30">
        <f>nov_repo[[#This Row],[Salary]]-nov_repo[[#This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5</v>
      </c>
      <c r="K23" s="15" t="str">
        <f t="shared" si="10"/>
        <v>WO</v>
      </c>
      <c r="L23" s="15"/>
      <c r="M23" s="15"/>
      <c r="N23" s="15"/>
      <c r="O23" s="15"/>
      <c r="P23" s="15"/>
      <c r="Q23" s="15"/>
      <c r="R23" s="15" t="str">
        <f t="shared" si="10"/>
        <v>WO</v>
      </c>
      <c r="S23" s="15"/>
      <c r="T23" s="15"/>
      <c r="U23" s="15"/>
      <c r="V23" s="15"/>
      <c r="W23" s="15"/>
      <c r="X23" s="15"/>
      <c r="Y23" s="15" t="str">
        <f t="shared" si="10"/>
        <v>WO</v>
      </c>
      <c r="Z23" s="15"/>
      <c r="AA23" s="15"/>
      <c r="AB23" s="15"/>
      <c r="AC23" s="15"/>
      <c r="AD23" s="15"/>
      <c r="AE23" s="15"/>
      <c r="AF23" s="15" t="str">
        <f t="shared" si="12"/>
        <v>WO</v>
      </c>
      <c r="AG23" s="15"/>
      <c r="AH23" s="15"/>
      <c r="AI23" s="15"/>
      <c r="AJ23" s="15"/>
      <c r="AK23" s="15"/>
      <c r="AL23" s="15"/>
      <c r="AM23" s="15" t="str">
        <f t="shared" si="12"/>
        <v>WO</v>
      </c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November</v>
      </c>
      <c r="AU23" s="29" t="str">
        <f t="shared" si="11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5</v>
      </c>
      <c r="AZ23" s="30">
        <f t="shared" si="9"/>
        <v>30</v>
      </c>
      <c r="BA23" s="30">
        <f>nov_repo[[#This Row],[Days]]-nov_repo[[#This Row],[Absent]]</f>
        <v>30</v>
      </c>
      <c r="BB23" s="31">
        <v>0</v>
      </c>
      <c r="BC23" s="32">
        <f>nov_repo[[#This Row],[Salary]]/nov_repo[[#This Row],[Days]]</f>
        <v>0</v>
      </c>
      <c r="BD23" s="30">
        <f>nov_repo[[#This Row],[Per Day Salary]]*nov_repo[[#This Row],[Absent]]</f>
        <v>0</v>
      </c>
      <c r="BE23" s="30">
        <f>nov_repo[[#This Row],[Salary]]-nov_repo[[#This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5</v>
      </c>
      <c r="K24" s="15" t="str">
        <f t="shared" si="10"/>
        <v>WO</v>
      </c>
      <c r="L24" s="15"/>
      <c r="M24" s="15"/>
      <c r="N24" s="15"/>
      <c r="O24" s="15"/>
      <c r="P24" s="15"/>
      <c r="Q24" s="15"/>
      <c r="R24" s="15" t="str">
        <f t="shared" si="10"/>
        <v>WO</v>
      </c>
      <c r="S24" s="15"/>
      <c r="T24" s="15"/>
      <c r="U24" s="15"/>
      <c r="V24" s="15"/>
      <c r="W24" s="15"/>
      <c r="X24" s="15"/>
      <c r="Y24" s="15" t="str">
        <f t="shared" si="10"/>
        <v>WO</v>
      </c>
      <c r="Z24" s="15"/>
      <c r="AA24" s="15"/>
      <c r="AB24" s="15"/>
      <c r="AC24" s="15"/>
      <c r="AD24" s="15"/>
      <c r="AE24" s="15"/>
      <c r="AF24" s="15" t="str">
        <f t="shared" si="12"/>
        <v>WO</v>
      </c>
      <c r="AG24" s="15"/>
      <c r="AH24" s="15"/>
      <c r="AI24" s="15"/>
      <c r="AJ24" s="15"/>
      <c r="AK24" s="15"/>
      <c r="AL24" s="15"/>
      <c r="AM24" s="15" t="str">
        <f t="shared" si="12"/>
        <v>WO</v>
      </c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November</v>
      </c>
      <c r="AU24" s="29" t="str">
        <f t="shared" si="11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5</v>
      </c>
      <c r="AZ24" s="30">
        <f t="shared" si="9"/>
        <v>30</v>
      </c>
      <c r="BA24" s="30">
        <f>nov_repo[[#This Row],[Days]]-nov_repo[[#This Row],[Absent]]</f>
        <v>30</v>
      </c>
      <c r="BB24" s="31">
        <v>0</v>
      </c>
      <c r="BC24" s="32">
        <f>nov_repo[[#This Row],[Salary]]/nov_repo[[#This Row],[Days]]</f>
        <v>0</v>
      </c>
      <c r="BD24" s="30">
        <f>nov_repo[[#This Row],[Per Day Salary]]*nov_repo[[#This Row],[Absent]]</f>
        <v>0</v>
      </c>
      <c r="BE24" s="30">
        <f>nov_repo[[#This Row],[Salary]]-nov_repo[[#This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5</v>
      </c>
      <c r="K25" s="15" t="str">
        <f t="shared" si="10"/>
        <v>WO</v>
      </c>
      <c r="L25" s="15"/>
      <c r="M25" s="15"/>
      <c r="N25" s="15"/>
      <c r="O25" s="15"/>
      <c r="P25" s="15"/>
      <c r="Q25" s="15"/>
      <c r="R25" s="15" t="str">
        <f t="shared" si="10"/>
        <v>WO</v>
      </c>
      <c r="S25" s="15"/>
      <c r="T25" s="15"/>
      <c r="U25" s="15"/>
      <c r="V25" s="15"/>
      <c r="W25" s="15"/>
      <c r="X25" s="15"/>
      <c r="Y25" s="15" t="str">
        <f t="shared" si="10"/>
        <v>WO</v>
      </c>
      <c r="Z25" s="15"/>
      <c r="AA25" s="15"/>
      <c r="AB25" s="15"/>
      <c r="AC25" s="15"/>
      <c r="AD25" s="15"/>
      <c r="AE25" s="15"/>
      <c r="AF25" s="15" t="str">
        <f t="shared" si="12"/>
        <v>WO</v>
      </c>
      <c r="AG25" s="15"/>
      <c r="AH25" s="15"/>
      <c r="AI25" s="15"/>
      <c r="AJ25" s="15"/>
      <c r="AK25" s="15"/>
      <c r="AL25" s="15"/>
      <c r="AM25" s="15" t="str">
        <f t="shared" si="12"/>
        <v>WO</v>
      </c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November</v>
      </c>
      <c r="AU25" s="29" t="str">
        <f t="shared" si="11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5</v>
      </c>
      <c r="AZ25" s="30">
        <f t="shared" si="9"/>
        <v>30</v>
      </c>
      <c r="BA25" s="30">
        <f>nov_repo[[#This Row],[Days]]-nov_repo[[#This Row],[Absent]]</f>
        <v>30</v>
      </c>
      <c r="BB25" s="31">
        <v>0</v>
      </c>
      <c r="BC25" s="32">
        <f>nov_repo[[#This Row],[Salary]]/nov_repo[[#This Row],[Days]]</f>
        <v>0</v>
      </c>
      <c r="BD25" s="30">
        <f>nov_repo[[#This Row],[Per Day Salary]]*nov_repo[[#This Row],[Absent]]</f>
        <v>0</v>
      </c>
      <c r="BE25" s="30">
        <f>nov_repo[[#This Row],[Salary]]-nov_repo[[#This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5</v>
      </c>
      <c r="K26" s="15" t="str">
        <f t="shared" si="10"/>
        <v>WO</v>
      </c>
      <c r="L26" s="15"/>
      <c r="M26" s="15"/>
      <c r="N26" s="15"/>
      <c r="O26" s="15"/>
      <c r="P26" s="15"/>
      <c r="Q26" s="15"/>
      <c r="R26" s="15" t="str">
        <f t="shared" si="10"/>
        <v>WO</v>
      </c>
      <c r="S26" s="15"/>
      <c r="T26" s="15"/>
      <c r="U26" s="15"/>
      <c r="V26" s="15"/>
      <c r="W26" s="15"/>
      <c r="X26" s="15"/>
      <c r="Y26" s="15" t="str">
        <f t="shared" si="10"/>
        <v>WO</v>
      </c>
      <c r="Z26" s="15"/>
      <c r="AA26" s="15"/>
      <c r="AB26" s="15"/>
      <c r="AC26" s="15"/>
      <c r="AD26" s="15"/>
      <c r="AE26" s="15"/>
      <c r="AF26" s="15" t="str">
        <f t="shared" si="12"/>
        <v>WO</v>
      </c>
      <c r="AG26" s="15"/>
      <c r="AH26" s="15"/>
      <c r="AI26" s="15"/>
      <c r="AJ26" s="15"/>
      <c r="AK26" s="15"/>
      <c r="AL26" s="15"/>
      <c r="AM26" s="15" t="str">
        <f t="shared" si="12"/>
        <v>WO</v>
      </c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November</v>
      </c>
      <c r="AU26" s="29" t="str">
        <f t="shared" si="11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5</v>
      </c>
      <c r="AZ26" s="30">
        <f t="shared" si="9"/>
        <v>30</v>
      </c>
      <c r="BA26" s="30">
        <f>nov_repo[[#This Row],[Days]]-nov_repo[[#This Row],[Absent]]</f>
        <v>30</v>
      </c>
      <c r="BB26" s="31">
        <v>0</v>
      </c>
      <c r="BC26" s="32">
        <f>nov_repo[[#This Row],[Salary]]/nov_repo[[#This Row],[Days]]</f>
        <v>0</v>
      </c>
      <c r="BD26" s="30">
        <f>nov_repo[[#This Row],[Per Day Salary]]*nov_repo[[#This Row],[Absent]]</f>
        <v>0</v>
      </c>
      <c r="BE26" s="30">
        <f>nov_repo[[#This Row],[Salary]]-nov_repo[[#This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5</v>
      </c>
      <c r="K27" s="15" t="str">
        <f t="shared" si="10"/>
        <v>WO</v>
      </c>
      <c r="L27" s="15"/>
      <c r="M27" s="15"/>
      <c r="N27" s="15"/>
      <c r="O27" s="15"/>
      <c r="P27" s="15"/>
      <c r="Q27" s="15"/>
      <c r="R27" s="15" t="str">
        <f t="shared" si="10"/>
        <v>WO</v>
      </c>
      <c r="S27" s="15"/>
      <c r="T27" s="15"/>
      <c r="U27" s="15"/>
      <c r="V27" s="15"/>
      <c r="W27" s="15"/>
      <c r="X27" s="15"/>
      <c r="Y27" s="15" t="str">
        <f t="shared" si="10"/>
        <v>WO</v>
      </c>
      <c r="Z27" s="15"/>
      <c r="AA27" s="15"/>
      <c r="AB27" s="15"/>
      <c r="AC27" s="15"/>
      <c r="AD27" s="15"/>
      <c r="AE27" s="15"/>
      <c r="AF27" s="15" t="str">
        <f t="shared" si="12"/>
        <v>WO</v>
      </c>
      <c r="AG27" s="15"/>
      <c r="AH27" s="15"/>
      <c r="AI27" s="15"/>
      <c r="AJ27" s="15"/>
      <c r="AK27" s="15"/>
      <c r="AL27" s="15"/>
      <c r="AM27" s="15" t="str">
        <f t="shared" si="12"/>
        <v>WO</v>
      </c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November</v>
      </c>
      <c r="AU27" s="29" t="str">
        <f t="shared" si="11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5</v>
      </c>
      <c r="AZ27" s="30">
        <f t="shared" si="9"/>
        <v>30</v>
      </c>
      <c r="BA27" s="30">
        <f>nov_repo[[#This Row],[Days]]-nov_repo[[#This Row],[Absent]]</f>
        <v>30</v>
      </c>
      <c r="BB27" s="31">
        <v>0</v>
      </c>
      <c r="BC27" s="32">
        <f>nov_repo[[#This Row],[Salary]]/nov_repo[[#This Row],[Days]]</f>
        <v>0</v>
      </c>
      <c r="BD27" s="30">
        <f>nov_repo[[#This Row],[Per Day Salary]]*nov_repo[[#This Row],[Absent]]</f>
        <v>0</v>
      </c>
      <c r="BE27" s="30">
        <f>nov_repo[[#This Row],[Salary]]-nov_repo[[#This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5</v>
      </c>
      <c r="K28" s="15" t="str">
        <f t="shared" si="10"/>
        <v>WO</v>
      </c>
      <c r="L28" s="15"/>
      <c r="M28" s="15"/>
      <c r="N28" s="15"/>
      <c r="O28" s="15"/>
      <c r="P28" s="15"/>
      <c r="Q28" s="15"/>
      <c r="R28" s="15" t="str">
        <f t="shared" si="10"/>
        <v>WO</v>
      </c>
      <c r="S28" s="15"/>
      <c r="T28" s="15"/>
      <c r="U28" s="15"/>
      <c r="V28" s="15"/>
      <c r="W28" s="15"/>
      <c r="X28" s="15"/>
      <c r="Y28" s="15" t="str">
        <f t="shared" si="10"/>
        <v>WO</v>
      </c>
      <c r="Z28" s="15"/>
      <c r="AA28" s="15"/>
      <c r="AB28" s="15"/>
      <c r="AC28" s="15"/>
      <c r="AD28" s="15"/>
      <c r="AE28" s="15"/>
      <c r="AF28" s="15" t="str">
        <f t="shared" si="12"/>
        <v>WO</v>
      </c>
      <c r="AG28" s="15"/>
      <c r="AH28" s="15"/>
      <c r="AI28" s="15"/>
      <c r="AJ28" s="15"/>
      <c r="AK28" s="15"/>
      <c r="AL28" s="15"/>
      <c r="AM28" s="15" t="str">
        <f t="shared" si="12"/>
        <v>WO</v>
      </c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November</v>
      </c>
      <c r="AU28" s="29" t="str">
        <f t="shared" si="11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5</v>
      </c>
      <c r="AZ28" s="30">
        <f t="shared" si="9"/>
        <v>30</v>
      </c>
      <c r="BA28" s="30">
        <f>nov_repo[[#This Row],[Days]]-nov_repo[[#This Row],[Absent]]</f>
        <v>30</v>
      </c>
      <c r="BB28" s="31">
        <v>0</v>
      </c>
      <c r="BC28" s="32">
        <f>nov_repo[[#This Row],[Salary]]/nov_repo[[#This Row],[Days]]</f>
        <v>0</v>
      </c>
      <c r="BD28" s="30">
        <f>nov_repo[[#This Row],[Per Day Salary]]*nov_repo[[#This Row],[Absent]]</f>
        <v>0</v>
      </c>
      <c r="BE28" s="30">
        <f>nov_repo[[#This Row],[Salary]]-nov_repo[[#This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5</v>
      </c>
      <c r="K29" s="15" t="str">
        <f t="shared" si="10"/>
        <v>WO</v>
      </c>
      <c r="L29" s="15"/>
      <c r="M29" s="15"/>
      <c r="N29" s="15"/>
      <c r="O29" s="15"/>
      <c r="P29" s="15"/>
      <c r="Q29" s="15"/>
      <c r="R29" s="15" t="str">
        <f t="shared" si="10"/>
        <v>WO</v>
      </c>
      <c r="S29" s="15"/>
      <c r="T29" s="15"/>
      <c r="U29" s="15"/>
      <c r="V29" s="15"/>
      <c r="W29" s="15"/>
      <c r="X29" s="15"/>
      <c r="Y29" s="15" t="str">
        <f t="shared" si="10"/>
        <v>WO</v>
      </c>
      <c r="Z29" s="15"/>
      <c r="AA29" s="15"/>
      <c r="AB29" s="15"/>
      <c r="AC29" s="15"/>
      <c r="AD29" s="15"/>
      <c r="AE29" s="15"/>
      <c r="AF29" s="15" t="str">
        <f t="shared" si="12"/>
        <v>WO</v>
      </c>
      <c r="AG29" s="15"/>
      <c r="AH29" s="15"/>
      <c r="AI29" s="15"/>
      <c r="AJ29" s="15"/>
      <c r="AK29" s="15"/>
      <c r="AL29" s="15"/>
      <c r="AM29" s="15" t="str">
        <f t="shared" si="12"/>
        <v>WO</v>
      </c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November</v>
      </c>
      <c r="AU29" s="29" t="str">
        <f t="shared" si="11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5</v>
      </c>
      <c r="AZ29" s="30">
        <f t="shared" si="9"/>
        <v>30</v>
      </c>
      <c r="BA29" s="30">
        <f>nov_repo[[#This Row],[Days]]-nov_repo[[#This Row],[Absent]]</f>
        <v>30</v>
      </c>
      <c r="BB29" s="31">
        <v>0</v>
      </c>
      <c r="BC29" s="32">
        <f>nov_repo[[#This Row],[Salary]]/nov_repo[[#This Row],[Days]]</f>
        <v>0</v>
      </c>
      <c r="BD29" s="30">
        <f>nov_repo[[#This Row],[Per Day Salary]]*nov_repo[[#This Row],[Absent]]</f>
        <v>0</v>
      </c>
      <c r="BE29" s="30">
        <f>nov_repo[[#This Row],[Salary]]-nov_repo[[#This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5</v>
      </c>
      <c r="K30" s="15" t="str">
        <f t="shared" si="10"/>
        <v>WO</v>
      </c>
      <c r="L30" s="15"/>
      <c r="M30" s="15"/>
      <c r="N30" s="15"/>
      <c r="O30" s="15"/>
      <c r="P30" s="15"/>
      <c r="Q30" s="15"/>
      <c r="R30" s="15" t="str">
        <f t="shared" si="10"/>
        <v>WO</v>
      </c>
      <c r="S30" s="15"/>
      <c r="T30" s="15"/>
      <c r="U30" s="15"/>
      <c r="V30" s="15"/>
      <c r="W30" s="15"/>
      <c r="X30" s="15"/>
      <c r="Y30" s="15" t="str">
        <f t="shared" si="10"/>
        <v>WO</v>
      </c>
      <c r="Z30" s="15"/>
      <c r="AA30" s="15"/>
      <c r="AB30" s="15"/>
      <c r="AC30" s="15"/>
      <c r="AD30" s="15"/>
      <c r="AE30" s="15"/>
      <c r="AF30" s="15" t="str">
        <f t="shared" si="12"/>
        <v>WO</v>
      </c>
      <c r="AG30" s="15"/>
      <c r="AH30" s="15"/>
      <c r="AI30" s="15"/>
      <c r="AJ30" s="15"/>
      <c r="AK30" s="15"/>
      <c r="AL30" s="15"/>
      <c r="AM30" s="15" t="str">
        <f t="shared" si="12"/>
        <v>WO</v>
      </c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November</v>
      </c>
      <c r="AU30" s="29" t="str">
        <f t="shared" si="11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5</v>
      </c>
      <c r="AZ30" s="30">
        <f t="shared" si="9"/>
        <v>30</v>
      </c>
      <c r="BA30" s="30">
        <f>nov_repo[[#This Row],[Days]]-nov_repo[[#This Row],[Absent]]</f>
        <v>30</v>
      </c>
      <c r="BB30" s="31">
        <v>0</v>
      </c>
      <c r="BC30" s="32">
        <f>nov_repo[[#This Row],[Salary]]/nov_repo[[#This Row],[Days]]</f>
        <v>0</v>
      </c>
      <c r="BD30" s="30">
        <f>nov_repo[[#This Row],[Per Day Salary]]*nov_repo[[#This Row],[Absent]]</f>
        <v>0</v>
      </c>
      <c r="BE30" s="30">
        <f>nov_repo[[#This Row],[Salary]]-nov_repo[[#This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5</v>
      </c>
      <c r="K31" s="15" t="str">
        <f t="shared" si="10"/>
        <v>WO</v>
      </c>
      <c r="L31" s="15"/>
      <c r="M31" s="15"/>
      <c r="N31" s="15"/>
      <c r="O31" s="15"/>
      <c r="P31" s="15"/>
      <c r="Q31" s="15"/>
      <c r="R31" s="15" t="str">
        <f t="shared" si="10"/>
        <v>WO</v>
      </c>
      <c r="S31" s="15"/>
      <c r="T31" s="15"/>
      <c r="U31" s="15"/>
      <c r="V31" s="15"/>
      <c r="W31" s="15"/>
      <c r="X31" s="15"/>
      <c r="Y31" s="15" t="str">
        <f t="shared" si="10"/>
        <v>WO</v>
      </c>
      <c r="Z31" s="15"/>
      <c r="AA31" s="15"/>
      <c r="AB31" s="15"/>
      <c r="AC31" s="15"/>
      <c r="AD31" s="15"/>
      <c r="AE31" s="15"/>
      <c r="AF31" s="15" t="str">
        <f t="shared" si="12"/>
        <v>WO</v>
      </c>
      <c r="AG31" s="15"/>
      <c r="AH31" s="15"/>
      <c r="AI31" s="15"/>
      <c r="AJ31" s="15"/>
      <c r="AK31" s="15"/>
      <c r="AL31" s="15"/>
      <c r="AM31" s="15" t="str">
        <f t="shared" si="12"/>
        <v>WO</v>
      </c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November</v>
      </c>
      <c r="AU31" s="29" t="str">
        <f t="shared" si="11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5</v>
      </c>
      <c r="AZ31" s="30">
        <f t="shared" si="9"/>
        <v>30</v>
      </c>
      <c r="BA31" s="30">
        <f>nov_repo[[#This Row],[Days]]-nov_repo[[#This Row],[Absent]]</f>
        <v>30</v>
      </c>
      <c r="BB31" s="31">
        <v>0</v>
      </c>
      <c r="BC31" s="32">
        <f>nov_repo[[#This Row],[Salary]]/nov_repo[[#This Row],[Days]]</f>
        <v>0</v>
      </c>
      <c r="BD31" s="30">
        <f>nov_repo[[#This Row],[Per Day Salary]]*nov_repo[[#This Row],[Absent]]</f>
        <v>0</v>
      </c>
      <c r="BE31" s="30">
        <f>nov_repo[[#This Row],[Salary]]-nov_repo[[#This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5</v>
      </c>
      <c r="K32" s="15" t="str">
        <f t="shared" si="10"/>
        <v>WO</v>
      </c>
      <c r="L32" s="15"/>
      <c r="M32" s="15"/>
      <c r="N32" s="15"/>
      <c r="O32" s="15"/>
      <c r="P32" s="15"/>
      <c r="Q32" s="15"/>
      <c r="R32" s="15" t="str">
        <f t="shared" si="10"/>
        <v>WO</v>
      </c>
      <c r="S32" s="15"/>
      <c r="T32" s="15"/>
      <c r="U32" s="15"/>
      <c r="V32" s="15"/>
      <c r="W32" s="15"/>
      <c r="X32" s="15"/>
      <c r="Y32" s="15" t="str">
        <f t="shared" si="10"/>
        <v>WO</v>
      </c>
      <c r="Z32" s="15"/>
      <c r="AA32" s="15"/>
      <c r="AB32" s="15"/>
      <c r="AC32" s="15"/>
      <c r="AD32" s="15"/>
      <c r="AE32" s="15"/>
      <c r="AF32" s="15" t="str">
        <f t="shared" si="12"/>
        <v>WO</v>
      </c>
      <c r="AG32" s="15"/>
      <c r="AH32" s="15"/>
      <c r="AI32" s="15"/>
      <c r="AJ32" s="15"/>
      <c r="AK32" s="15"/>
      <c r="AL32" s="15"/>
      <c r="AM32" s="15" t="str">
        <f t="shared" si="12"/>
        <v>WO</v>
      </c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November</v>
      </c>
      <c r="AU32" s="29" t="str">
        <f t="shared" si="11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5</v>
      </c>
      <c r="AZ32" s="30">
        <f t="shared" si="9"/>
        <v>30</v>
      </c>
      <c r="BA32" s="30">
        <f>nov_repo[[#This Row],[Days]]-nov_repo[[#This Row],[Absent]]</f>
        <v>30</v>
      </c>
      <c r="BB32" s="31">
        <v>0</v>
      </c>
      <c r="BC32" s="32">
        <f>nov_repo[[#This Row],[Salary]]/nov_repo[[#This Row],[Days]]</f>
        <v>0</v>
      </c>
      <c r="BD32" s="30">
        <f>nov_repo[[#This Row],[Per Day Salary]]*nov_repo[[#This Row],[Absent]]</f>
        <v>0</v>
      </c>
      <c r="BE32" s="30">
        <f>nov_repo[[#This Row],[Salary]]-nov_repo[[#This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5</v>
      </c>
      <c r="K33" s="15" t="str">
        <f t="shared" si="10"/>
        <v>WO</v>
      </c>
      <c r="L33" s="15"/>
      <c r="M33" s="15"/>
      <c r="N33" s="15"/>
      <c r="O33" s="15"/>
      <c r="P33" s="15"/>
      <c r="Q33" s="15"/>
      <c r="R33" s="15" t="str">
        <f t="shared" ref="R33:AF38" si="13">IF(R$7="Sun","WO","")</f>
        <v>WO</v>
      </c>
      <c r="S33" s="15"/>
      <c r="T33" s="15"/>
      <c r="U33" s="15"/>
      <c r="V33" s="15"/>
      <c r="W33" s="15"/>
      <c r="X33" s="15"/>
      <c r="Y33" s="15" t="str">
        <f t="shared" si="13"/>
        <v>WO</v>
      </c>
      <c r="Z33" s="15"/>
      <c r="AA33" s="15"/>
      <c r="AB33" s="15"/>
      <c r="AC33" s="15"/>
      <c r="AD33" s="15"/>
      <c r="AE33" s="15"/>
      <c r="AF33" s="15" t="str">
        <f t="shared" si="13"/>
        <v>WO</v>
      </c>
      <c r="AG33" s="15"/>
      <c r="AH33" s="15"/>
      <c r="AI33" s="15"/>
      <c r="AJ33" s="15"/>
      <c r="AK33" s="15"/>
      <c r="AL33" s="15"/>
      <c r="AM33" s="15" t="str">
        <f t="shared" si="12"/>
        <v>WO</v>
      </c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November</v>
      </c>
      <c r="AU33" s="29" t="str">
        <f t="shared" si="11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5</v>
      </c>
      <c r="AZ33" s="30">
        <f t="shared" si="9"/>
        <v>30</v>
      </c>
      <c r="BA33" s="30">
        <f>nov_repo[[#This Row],[Days]]-nov_repo[[#This Row],[Absent]]</f>
        <v>30</v>
      </c>
      <c r="BB33" s="31">
        <v>0</v>
      </c>
      <c r="BC33" s="32">
        <f>nov_repo[[#This Row],[Salary]]/nov_repo[[#This Row],[Days]]</f>
        <v>0</v>
      </c>
      <c r="BD33" s="30">
        <f>nov_repo[[#This Row],[Per Day Salary]]*nov_repo[[#This Row],[Absent]]</f>
        <v>0</v>
      </c>
      <c r="BE33" s="30">
        <f>nov_repo[[#This Row],[Salary]]-nov_repo[[#This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5</v>
      </c>
      <c r="K34" s="15" t="str">
        <f t="shared" ref="K34:Y38" si="14">IF(K$7="Sun","WO","")</f>
        <v>WO</v>
      </c>
      <c r="L34" s="15"/>
      <c r="M34" s="15"/>
      <c r="N34" s="15"/>
      <c r="O34" s="15"/>
      <c r="P34" s="15"/>
      <c r="Q34" s="15"/>
      <c r="R34" s="15" t="str">
        <f t="shared" si="14"/>
        <v>WO</v>
      </c>
      <c r="S34" s="15"/>
      <c r="T34" s="15"/>
      <c r="U34" s="15"/>
      <c r="V34" s="15"/>
      <c r="W34" s="15"/>
      <c r="X34" s="15"/>
      <c r="Y34" s="15" t="str">
        <f t="shared" si="14"/>
        <v>WO</v>
      </c>
      <c r="Z34" s="15"/>
      <c r="AA34" s="15"/>
      <c r="AB34" s="15"/>
      <c r="AC34" s="15"/>
      <c r="AD34" s="15"/>
      <c r="AE34" s="15"/>
      <c r="AF34" s="15" t="str">
        <f t="shared" si="13"/>
        <v>WO</v>
      </c>
      <c r="AG34" s="15"/>
      <c r="AH34" s="15"/>
      <c r="AI34" s="15"/>
      <c r="AJ34" s="15"/>
      <c r="AK34" s="15"/>
      <c r="AL34" s="15"/>
      <c r="AM34" s="15" t="str">
        <f t="shared" si="12"/>
        <v>WO</v>
      </c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November</v>
      </c>
      <c r="AU34" s="29" t="str">
        <f t="shared" si="11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5</v>
      </c>
      <c r="AZ34" s="30">
        <f t="shared" si="9"/>
        <v>30</v>
      </c>
      <c r="BA34" s="30">
        <f>nov_repo[[#This Row],[Days]]-nov_repo[[#This Row],[Absent]]</f>
        <v>30</v>
      </c>
      <c r="BB34" s="31">
        <v>0</v>
      </c>
      <c r="BC34" s="32">
        <f>nov_repo[[#This Row],[Salary]]/nov_repo[[#This Row],[Days]]</f>
        <v>0</v>
      </c>
      <c r="BD34" s="30">
        <f>nov_repo[[#This Row],[Per Day Salary]]*nov_repo[[#This Row],[Absent]]</f>
        <v>0</v>
      </c>
      <c r="BE34" s="30">
        <f>nov_repo[[#This Row],[Salary]]-nov_repo[[#This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5</v>
      </c>
      <c r="K35" s="15" t="str">
        <f t="shared" si="14"/>
        <v>WO</v>
      </c>
      <c r="L35" s="15"/>
      <c r="M35" s="15"/>
      <c r="N35" s="15"/>
      <c r="O35" s="15"/>
      <c r="P35" s="15"/>
      <c r="Q35" s="15"/>
      <c r="R35" s="15" t="str">
        <f t="shared" si="14"/>
        <v>WO</v>
      </c>
      <c r="S35" s="15"/>
      <c r="T35" s="15"/>
      <c r="U35" s="15"/>
      <c r="V35" s="15"/>
      <c r="W35" s="15"/>
      <c r="X35" s="15"/>
      <c r="Y35" s="15" t="str">
        <f t="shared" si="14"/>
        <v>WO</v>
      </c>
      <c r="Z35" s="15"/>
      <c r="AA35" s="15"/>
      <c r="AB35" s="15"/>
      <c r="AC35" s="15"/>
      <c r="AD35" s="15"/>
      <c r="AE35" s="15"/>
      <c r="AF35" s="15" t="str">
        <f t="shared" si="13"/>
        <v>WO</v>
      </c>
      <c r="AG35" s="15"/>
      <c r="AH35" s="15"/>
      <c r="AI35" s="15"/>
      <c r="AJ35" s="15"/>
      <c r="AK35" s="15"/>
      <c r="AL35" s="15"/>
      <c r="AM35" s="15" t="str">
        <f t="shared" ref="AM35:AM38" si="15">IF(AM$7="Sun","WO","")</f>
        <v>WO</v>
      </c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November</v>
      </c>
      <c r="AU35" s="29" t="str">
        <f t="shared" si="11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5</v>
      </c>
      <c r="AZ35" s="30">
        <f t="shared" si="9"/>
        <v>30</v>
      </c>
      <c r="BA35" s="30">
        <f>nov_repo[[#This Row],[Days]]-nov_repo[[#This Row],[Absent]]</f>
        <v>30</v>
      </c>
      <c r="BB35" s="31">
        <v>0</v>
      </c>
      <c r="BC35" s="32">
        <f>nov_repo[[#This Row],[Salary]]/nov_repo[[#This Row],[Days]]</f>
        <v>0</v>
      </c>
      <c r="BD35" s="30">
        <f>nov_repo[[#This Row],[Per Day Salary]]*nov_repo[[#This Row],[Absent]]</f>
        <v>0</v>
      </c>
      <c r="BE35" s="30">
        <f>nov_repo[[#This Row],[Salary]]-nov_repo[[#This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5</v>
      </c>
      <c r="K36" s="15" t="str">
        <f t="shared" si="14"/>
        <v>WO</v>
      </c>
      <c r="L36" s="15"/>
      <c r="M36" s="15"/>
      <c r="N36" s="15"/>
      <c r="O36" s="15"/>
      <c r="P36" s="15"/>
      <c r="Q36" s="15"/>
      <c r="R36" s="15" t="str">
        <f t="shared" si="14"/>
        <v>WO</v>
      </c>
      <c r="S36" s="15"/>
      <c r="T36" s="15"/>
      <c r="U36" s="15"/>
      <c r="V36" s="15"/>
      <c r="W36" s="15"/>
      <c r="X36" s="15"/>
      <c r="Y36" s="15" t="str">
        <f t="shared" si="14"/>
        <v>WO</v>
      </c>
      <c r="Z36" s="15"/>
      <c r="AA36" s="15"/>
      <c r="AB36" s="15"/>
      <c r="AC36" s="15"/>
      <c r="AD36" s="15"/>
      <c r="AE36" s="15"/>
      <c r="AF36" s="15" t="str">
        <f t="shared" si="13"/>
        <v>WO</v>
      </c>
      <c r="AG36" s="15"/>
      <c r="AH36" s="15"/>
      <c r="AI36" s="15"/>
      <c r="AJ36" s="15"/>
      <c r="AK36" s="15"/>
      <c r="AL36" s="15"/>
      <c r="AM36" s="15" t="str">
        <f t="shared" si="15"/>
        <v>WO</v>
      </c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November</v>
      </c>
      <c r="AU36" s="29" t="str">
        <f t="shared" si="11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5</v>
      </c>
      <c r="AZ36" s="30">
        <f t="shared" si="9"/>
        <v>30</v>
      </c>
      <c r="BA36" s="30">
        <f>nov_repo[[#This Row],[Days]]-nov_repo[[#This Row],[Absent]]</f>
        <v>30</v>
      </c>
      <c r="BB36" s="31">
        <v>0</v>
      </c>
      <c r="BC36" s="32">
        <f>nov_repo[[#This Row],[Salary]]/nov_repo[[#This Row],[Days]]</f>
        <v>0</v>
      </c>
      <c r="BD36" s="30">
        <f>nov_repo[[#This Row],[Per Day Salary]]*nov_repo[[#This Row],[Absent]]</f>
        <v>0</v>
      </c>
      <c r="BE36" s="30">
        <f>nov_repo[[#This Row],[Salary]]-nov_repo[[#This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5</v>
      </c>
      <c r="K37" s="15" t="str">
        <f t="shared" si="14"/>
        <v>WO</v>
      </c>
      <c r="L37" s="15"/>
      <c r="M37" s="15"/>
      <c r="N37" s="15"/>
      <c r="O37" s="15"/>
      <c r="P37" s="15"/>
      <c r="Q37" s="15"/>
      <c r="R37" s="15" t="str">
        <f t="shared" si="14"/>
        <v>WO</v>
      </c>
      <c r="S37" s="15"/>
      <c r="T37" s="15"/>
      <c r="U37" s="15"/>
      <c r="V37" s="15"/>
      <c r="W37" s="15"/>
      <c r="X37" s="15"/>
      <c r="Y37" s="15" t="str">
        <f t="shared" si="14"/>
        <v>WO</v>
      </c>
      <c r="Z37" s="15"/>
      <c r="AA37" s="15"/>
      <c r="AB37" s="15"/>
      <c r="AC37" s="15"/>
      <c r="AD37" s="15"/>
      <c r="AE37" s="15"/>
      <c r="AF37" s="15" t="str">
        <f t="shared" si="13"/>
        <v>WO</v>
      </c>
      <c r="AG37" s="15"/>
      <c r="AH37" s="15"/>
      <c r="AI37" s="15"/>
      <c r="AJ37" s="15"/>
      <c r="AK37" s="15"/>
      <c r="AL37" s="15"/>
      <c r="AM37" s="15" t="str">
        <f t="shared" si="15"/>
        <v>WO</v>
      </c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November</v>
      </c>
      <c r="AU37" s="29" t="str">
        <f t="shared" si="11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5</v>
      </c>
      <c r="AZ37" s="30">
        <f t="shared" si="9"/>
        <v>30</v>
      </c>
      <c r="BA37" s="30">
        <f>nov_repo[[#This Row],[Days]]-nov_repo[[#This Row],[Absent]]</f>
        <v>30</v>
      </c>
      <c r="BB37" s="31">
        <v>0</v>
      </c>
      <c r="BC37" s="32">
        <f>nov_repo[[#This Row],[Salary]]/nov_repo[[#This Row],[Days]]</f>
        <v>0</v>
      </c>
      <c r="BD37" s="30">
        <f>nov_repo[[#This Row],[Per Day Salary]]*nov_repo[[#This Row],[Absent]]</f>
        <v>0</v>
      </c>
      <c r="BE37" s="30">
        <f>nov_repo[[#This Row],[Salary]]-nov_repo[[#This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5</v>
      </c>
      <c r="K38" s="21" t="str">
        <f t="shared" si="14"/>
        <v>WO</v>
      </c>
      <c r="L38" s="21"/>
      <c r="M38" s="21"/>
      <c r="N38" s="21"/>
      <c r="O38" s="21"/>
      <c r="P38" s="21"/>
      <c r="Q38" s="21"/>
      <c r="R38" s="21" t="str">
        <f t="shared" si="14"/>
        <v>WO</v>
      </c>
      <c r="S38" s="21"/>
      <c r="T38" s="21"/>
      <c r="U38" s="21"/>
      <c r="V38" s="21"/>
      <c r="W38" s="21"/>
      <c r="X38" s="21"/>
      <c r="Y38" s="21" t="str">
        <f t="shared" si="14"/>
        <v>WO</v>
      </c>
      <c r="Z38" s="21"/>
      <c r="AA38" s="21"/>
      <c r="AB38" s="21"/>
      <c r="AC38" s="21"/>
      <c r="AD38" s="21"/>
      <c r="AE38" s="21"/>
      <c r="AF38" s="21" t="str">
        <f t="shared" si="13"/>
        <v>WO</v>
      </c>
      <c r="AG38" s="21"/>
      <c r="AH38" s="21"/>
      <c r="AI38" s="21"/>
      <c r="AJ38" s="21"/>
      <c r="AK38" s="21"/>
      <c r="AL38" s="21"/>
      <c r="AM38" s="21" t="str">
        <f t="shared" si="15"/>
        <v>WO</v>
      </c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November</v>
      </c>
      <c r="AU38" s="29" t="str">
        <f t="shared" si="11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5</v>
      </c>
      <c r="AZ38" s="30">
        <f t="shared" si="9"/>
        <v>30</v>
      </c>
      <c r="BA38" s="30">
        <f>nov_repo[[#This Row],[Days]]-nov_repo[[#This Row],[Absent]]</f>
        <v>30</v>
      </c>
      <c r="BB38" s="31">
        <v>0</v>
      </c>
      <c r="BC38" s="32">
        <f>nov_repo[[#This Row],[Salary]]/nov_repo[[#This Row],[Days]]</f>
        <v>0</v>
      </c>
      <c r="BD38" s="30">
        <f>nov_repo[[#This Row],[Per Day Salary]]*nov_repo[[#This Row],[Absent]]</f>
        <v>0</v>
      </c>
      <c r="BE38" s="30">
        <f>nov_repo[[#This Row],[Salary]]-nov_repo[[#This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61" priority="12" operator="containsText" text="WO">
      <formula>NOT(ISERROR(SEARCH("WO",H5)))</formula>
    </cfRule>
  </conditionalFormatting>
  <conditionalFormatting sqref="K9">
    <cfRule type="containsText" dxfId="60" priority="5" operator="containsText" text="L">
      <formula>NOT(ISERROR(SEARCH("L",K9)))</formula>
    </cfRule>
    <cfRule type="containsText" dxfId="59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58" priority="9" operator="containsText" text="WO">
      <formula>NOT(ISERROR(SEARCH("WO",A1)))</formula>
    </cfRule>
    <cfRule type="containsText" dxfId="57" priority="10" operator="containsText" text="WO">
      <formula>NOT(ISERROR(SEARCH("WO",A1)))</formula>
    </cfRule>
  </conditionalFormatting>
  <conditionalFormatting sqref="K9:AO38">
    <cfRule type="containsText" dxfId="56" priority="6" operator="containsText" text="L">
      <formula>NOT(ISERROR(SEARCH("L",K9)))</formula>
    </cfRule>
    <cfRule type="containsText" dxfId="55" priority="7" operator="containsText" text="A">
      <formula>NOT(ISERROR(SEARCH("A",K9)))</formula>
    </cfRule>
    <cfRule type="containsText" dxfId="54" priority="8" operator="containsText" text="P">
      <formula>NOT(ISERROR(SEARCH("P",K9)))</formula>
    </cfRule>
  </conditionalFormatting>
  <conditionalFormatting sqref="BB9:BB38">
    <cfRule type="containsText" dxfId="53" priority="3" operator="containsText" text="WO">
      <formula>NOT(ISERROR(SEARCH("WO",BB9)))</formula>
    </cfRule>
    <cfRule type="containsText" dxfId="52" priority="4" operator="containsText" text="WO">
      <formula>NOT(ISERROR(SEARCH("WO",BB9)))</formula>
    </cfRule>
  </conditionalFormatting>
  <conditionalFormatting sqref="I9:I12">
    <cfRule type="containsText" dxfId="51" priority="1" operator="containsText" text="WO">
      <formula>NOT(ISERROR(SEARCH("WO",I9)))</formula>
    </cfRule>
    <cfRule type="containsText" dxfId="50" priority="2" operator="containsText" text="WO">
      <formula>NOT(ISERROR(SEARCH("WO",I9)))</formula>
    </cfRule>
  </conditionalFormatting>
  <dataValidations count="1">
    <dataValidation type="list" allowBlank="1" showInputMessage="1" showErrorMessage="1" sqref="L9:Q38 S9:X38 Z9:AE38 AG9:AL38 AN9:AO38" xr:uid="{00000000-0002-0000-0A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A00-00000A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NOV!AV9:AY9</xm:f>
              <xm:sqref>BF9</xm:sqref>
            </x14:sparkline>
            <x14:sparkline>
              <xm:f>NOV!AV10:AY10</xm:f>
              <xm:sqref>BF10</xm:sqref>
            </x14:sparkline>
            <x14:sparkline>
              <xm:f>NOV!AV11:AY11</xm:f>
              <xm:sqref>BF11</xm:sqref>
            </x14:sparkline>
            <x14:sparkline>
              <xm:f>NOV!AV12:AY12</xm:f>
              <xm:sqref>BF12</xm:sqref>
            </x14:sparkline>
            <x14:sparkline>
              <xm:f>NOV!AV13:AY13</xm:f>
              <xm:sqref>BF13</xm:sqref>
            </x14:sparkline>
            <x14:sparkline>
              <xm:f>NOV!AV14:AY14</xm:f>
              <xm:sqref>BF14</xm:sqref>
            </x14:sparkline>
            <x14:sparkline>
              <xm:f>NOV!AV15:AY15</xm:f>
              <xm:sqref>BF15</xm:sqref>
            </x14:sparkline>
            <x14:sparkline>
              <xm:f>NOV!AV16:AY16</xm:f>
              <xm:sqref>BF16</xm:sqref>
            </x14:sparkline>
            <x14:sparkline>
              <xm:f>NOV!AV17:AY17</xm:f>
              <xm:sqref>BF17</xm:sqref>
            </x14:sparkline>
            <x14:sparkline>
              <xm:f>NOV!AV18:AY18</xm:f>
              <xm:sqref>BF18</xm:sqref>
            </x14:sparkline>
            <x14:sparkline>
              <xm:f>NOV!AV19:AY19</xm:f>
              <xm:sqref>BF19</xm:sqref>
            </x14:sparkline>
            <x14:sparkline>
              <xm:f>NOV!AV20:AY20</xm:f>
              <xm:sqref>BF20</xm:sqref>
            </x14:sparkline>
            <x14:sparkline>
              <xm:f>NOV!AV21:AY21</xm:f>
              <xm:sqref>BF21</xm:sqref>
            </x14:sparkline>
            <x14:sparkline>
              <xm:f>NOV!AV22:AY22</xm:f>
              <xm:sqref>BF22</xm:sqref>
            </x14:sparkline>
            <x14:sparkline>
              <xm:f>NOV!AV23:AY23</xm:f>
              <xm:sqref>BF23</xm:sqref>
            </x14:sparkline>
            <x14:sparkline>
              <xm:f>NOV!AV24:AY24</xm:f>
              <xm:sqref>BF24</xm:sqref>
            </x14:sparkline>
            <x14:sparkline>
              <xm:f>NOV!AV25:AY25</xm:f>
              <xm:sqref>BF25</xm:sqref>
            </x14:sparkline>
            <x14:sparkline>
              <xm:f>NOV!AV26:AY26</xm:f>
              <xm:sqref>BF26</xm:sqref>
            </x14:sparkline>
            <x14:sparkline>
              <xm:f>NOV!AV27:AY27</xm:f>
              <xm:sqref>BF27</xm:sqref>
            </x14:sparkline>
            <x14:sparkline>
              <xm:f>NOV!AV28:AY28</xm:f>
              <xm:sqref>BF28</xm:sqref>
            </x14:sparkline>
            <x14:sparkline>
              <xm:f>NOV!AV29:AY29</xm:f>
              <xm:sqref>BF29</xm:sqref>
            </x14:sparkline>
            <x14:sparkline>
              <xm:f>NOV!AV30:AY30</xm:f>
              <xm:sqref>BF30</xm:sqref>
            </x14:sparkline>
            <x14:sparkline>
              <xm:f>NOV!AV31:AY31</xm:f>
              <xm:sqref>BF31</xm:sqref>
            </x14:sparkline>
            <x14:sparkline>
              <xm:f>NOV!AV32:AY32</xm:f>
              <xm:sqref>BF32</xm:sqref>
            </x14:sparkline>
            <x14:sparkline>
              <xm:f>NOV!AV33:AY33</xm:f>
              <xm:sqref>BF33</xm:sqref>
            </x14:sparkline>
            <x14:sparkline>
              <xm:f>NOV!AV34:AY34</xm:f>
              <xm:sqref>BF34</xm:sqref>
            </x14:sparkline>
            <x14:sparkline>
              <xm:f>NOV!AV35:AY35</xm:f>
              <xm:sqref>BF35</xm:sqref>
            </x14:sparkline>
            <x14:sparkline>
              <xm:f>NOV!AV36:AY36</xm:f>
              <xm:sqref>BF36</xm:sqref>
            </x14:sparkline>
            <x14:sparkline>
              <xm:f>NOV!AV37:AY37</xm:f>
              <xm:sqref>BF37</xm:sqref>
            </x14:sparkline>
            <x14:sparkline>
              <xm:f>NOV!AV38:AY38</xm:f>
              <xm:sqref>BF38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Z163"/>
  <sheetViews>
    <sheetView topLeftCell="AF17" zoomScale="130" zoomScaleNormal="130" workbookViewId="0">
      <selection activeCell="AU9" sqref="AU9:AU38"/>
    </sheetView>
  </sheetViews>
  <sheetFormatPr defaultRowHeight="10.199999999999999" x14ac:dyDescent="0.3"/>
  <cols>
    <col min="1" max="2" width="8.88671875" style="3"/>
    <col min="3" max="4" width="8.88671875" style="3" customWidth="1"/>
    <col min="5" max="6" width="8.88671875" style="3"/>
    <col min="7" max="7" width="3.5546875" style="3" customWidth="1"/>
    <col min="8" max="8" width="9" style="3" customWidth="1"/>
    <col min="9" max="9" width="6.109375" style="3" customWidth="1"/>
    <col min="10" max="10" width="6.33203125" style="3" customWidth="1"/>
    <col min="11" max="11" width="3" style="3" customWidth="1"/>
    <col min="12" max="12" width="3.6640625" style="3" customWidth="1"/>
    <col min="13" max="13" width="3" style="3" customWidth="1"/>
    <col min="14" max="14" width="2.33203125" style="3" customWidth="1"/>
    <col min="15" max="15" width="2.6640625" style="3" customWidth="1"/>
    <col min="16" max="16" width="3.109375" style="3" customWidth="1"/>
    <col min="17" max="17" width="3.5546875" style="3" customWidth="1"/>
    <col min="18" max="18" width="3" style="3" customWidth="1"/>
    <col min="19" max="19" width="3.6640625" style="3" customWidth="1"/>
    <col min="20" max="20" width="3" style="3" customWidth="1"/>
    <col min="21" max="21" width="2.33203125" style="3" customWidth="1"/>
    <col min="22" max="22" width="2.6640625" style="3" customWidth="1"/>
    <col min="23" max="23" width="3.109375" style="3" customWidth="1"/>
    <col min="24" max="24" width="3.5546875" style="3" customWidth="1"/>
    <col min="25" max="25" width="3" style="3" customWidth="1"/>
    <col min="26" max="26" width="3.6640625" style="3" customWidth="1"/>
    <col min="27" max="27" width="3" style="3" customWidth="1"/>
    <col min="28" max="28" width="2.33203125" style="3" customWidth="1"/>
    <col min="29" max="29" width="2.6640625" style="3" customWidth="1"/>
    <col min="30" max="30" width="3.109375" style="3" customWidth="1"/>
    <col min="31" max="31" width="3.5546875" style="3" customWidth="1"/>
    <col min="32" max="32" width="3" style="3" customWidth="1"/>
    <col min="33" max="33" width="3.6640625" style="3" customWidth="1"/>
    <col min="34" max="34" width="3" style="3" customWidth="1"/>
    <col min="35" max="35" width="2.33203125" style="3" customWidth="1"/>
    <col min="36" max="36" width="2.6640625" style="3" customWidth="1"/>
    <col min="37" max="37" width="3.109375" style="3" customWidth="1"/>
    <col min="38" max="38" width="3.5546875" style="3" customWidth="1"/>
    <col min="39" max="39" width="3" style="3" customWidth="1"/>
    <col min="40" max="40" width="3.6640625" style="3" customWidth="1"/>
    <col min="41" max="41" width="3" style="3" customWidth="1"/>
    <col min="42" max="43" width="8.88671875" style="3"/>
    <col min="44" max="44" width="4.5546875" style="3" customWidth="1"/>
    <col min="45" max="45" width="11.6640625" style="3" customWidth="1"/>
    <col min="46" max="46" width="10.77734375" style="3" customWidth="1"/>
    <col min="47" max="47" width="8" style="3" customWidth="1"/>
    <col min="48" max="48" width="7.109375" style="3" customWidth="1"/>
    <col min="49" max="49" width="6.5546875" style="3" customWidth="1"/>
    <col min="50" max="50" width="5.5546875" style="3" customWidth="1"/>
    <col min="51" max="51" width="7.6640625" style="3" customWidth="1"/>
    <col min="52" max="52" width="4.77734375" style="3" customWidth="1"/>
    <col min="53" max="53" width="8.5546875" style="3" customWidth="1"/>
    <col min="54" max="54" width="10.21875" style="3" customWidth="1"/>
    <col min="55" max="55" width="12.21875" style="3" customWidth="1"/>
    <col min="56" max="56" width="9.109375" style="3" customWidth="1"/>
    <col min="57" max="57" width="10" style="3" customWidth="1"/>
    <col min="58" max="58" width="12.6640625" style="3" customWidth="1"/>
    <col min="59" max="16384" width="8.88671875" style="3"/>
  </cols>
  <sheetData>
    <row r="1" spans="4:71" ht="14.4" customHeight="1" x14ac:dyDescent="0.3">
      <c r="AQ1" s="44" t="s">
        <v>67</v>
      </c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4:71" ht="10.199999999999999" customHeight="1" x14ac:dyDescent="0.3"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4:71" ht="10.8" customHeight="1" x14ac:dyDescent="0.3"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4:71" x14ac:dyDescent="0.3">
      <c r="D4" s="23"/>
      <c r="E4" s="23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4:71" x14ac:dyDescent="0.3">
      <c r="D5" s="23"/>
      <c r="E5" s="23"/>
      <c r="F5" s="40"/>
      <c r="G5" s="42" t="s">
        <v>63</v>
      </c>
      <c r="H5" s="43">
        <v>46357</v>
      </c>
      <c r="I5" s="42">
        <f>(DATEDIF($H$5,$L$5,"D"))+1</f>
        <v>31</v>
      </c>
      <c r="J5" s="42" t="str">
        <f>TEXT(H5,"MMMM")</f>
        <v>December</v>
      </c>
      <c r="K5" s="42" t="s">
        <v>64</v>
      </c>
      <c r="L5" s="46">
        <f>EOMONTH(H5,0)</f>
        <v>46387</v>
      </c>
      <c r="M5" s="46"/>
      <c r="N5" s="46"/>
      <c r="O5" s="46"/>
      <c r="P5" s="46"/>
      <c r="Q5" s="46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4:71" x14ac:dyDescent="0.3">
      <c r="D6" s="23"/>
      <c r="E6" s="23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4:71" ht="10.8" thickBot="1" x14ac:dyDescent="0.35">
      <c r="D7" s="23"/>
      <c r="E7" s="23"/>
      <c r="F7" s="40"/>
      <c r="G7" s="45" t="s">
        <v>66</v>
      </c>
      <c r="H7" s="45"/>
      <c r="I7" s="45"/>
      <c r="J7" s="4" t="s">
        <v>65</v>
      </c>
      <c r="K7" s="4" t="str">
        <f>TEXT(K8,"DDD")</f>
        <v>Tue</v>
      </c>
      <c r="L7" s="4" t="str">
        <f t="shared" ref="L7:AO7" si="0">TEXT(L8,"DDD")</f>
        <v>Wed</v>
      </c>
      <c r="M7" s="4" t="str">
        <f t="shared" si="0"/>
        <v>Thu</v>
      </c>
      <c r="N7" s="4" t="str">
        <f t="shared" si="0"/>
        <v>Fri</v>
      </c>
      <c r="O7" s="4" t="str">
        <f t="shared" si="0"/>
        <v>Sat</v>
      </c>
      <c r="P7" s="4" t="str">
        <f t="shared" si="0"/>
        <v>Sun</v>
      </c>
      <c r="Q7" s="4" t="str">
        <f t="shared" si="0"/>
        <v>Mon</v>
      </c>
      <c r="R7" s="4" t="str">
        <f t="shared" si="0"/>
        <v>Tue</v>
      </c>
      <c r="S7" s="4" t="str">
        <f t="shared" si="0"/>
        <v>Wed</v>
      </c>
      <c r="T7" s="4" t="str">
        <f t="shared" si="0"/>
        <v>Thu</v>
      </c>
      <c r="U7" s="4" t="str">
        <f t="shared" si="0"/>
        <v>Fri</v>
      </c>
      <c r="V7" s="4" t="str">
        <f t="shared" si="0"/>
        <v>Sat</v>
      </c>
      <c r="W7" s="4" t="str">
        <f t="shared" si="0"/>
        <v>Sun</v>
      </c>
      <c r="X7" s="4" t="str">
        <f t="shared" si="0"/>
        <v>Mon</v>
      </c>
      <c r="Y7" s="4" t="str">
        <f t="shared" si="0"/>
        <v>Tue</v>
      </c>
      <c r="Z7" s="4" t="str">
        <f t="shared" si="0"/>
        <v>Wed</v>
      </c>
      <c r="AA7" s="4" t="str">
        <f t="shared" si="0"/>
        <v>Thu</v>
      </c>
      <c r="AB7" s="4" t="str">
        <f t="shared" si="0"/>
        <v>Fri</v>
      </c>
      <c r="AC7" s="4" t="str">
        <f t="shared" si="0"/>
        <v>Sat</v>
      </c>
      <c r="AD7" s="4" t="str">
        <f t="shared" si="0"/>
        <v>Sun</v>
      </c>
      <c r="AE7" s="4" t="str">
        <f t="shared" si="0"/>
        <v>Mon</v>
      </c>
      <c r="AF7" s="4" t="str">
        <f t="shared" si="0"/>
        <v>Tue</v>
      </c>
      <c r="AG7" s="4" t="str">
        <f t="shared" si="0"/>
        <v>Wed</v>
      </c>
      <c r="AH7" s="4" t="str">
        <f t="shared" si="0"/>
        <v>Thu</v>
      </c>
      <c r="AI7" s="4" t="str">
        <f t="shared" si="0"/>
        <v>Fri</v>
      </c>
      <c r="AJ7" s="4" t="str">
        <f t="shared" si="0"/>
        <v>Sat</v>
      </c>
      <c r="AK7" s="4" t="str">
        <f t="shared" si="0"/>
        <v>Sun</v>
      </c>
      <c r="AL7" s="4" t="str">
        <f t="shared" si="0"/>
        <v>Mon</v>
      </c>
      <c r="AM7" s="4" t="str">
        <f t="shared" si="0"/>
        <v>Tue</v>
      </c>
      <c r="AN7" s="4" t="str">
        <f t="shared" si="0"/>
        <v>Wed</v>
      </c>
      <c r="AO7" s="4" t="str">
        <f t="shared" si="0"/>
        <v>Thu</v>
      </c>
      <c r="AP7" s="40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4:71" ht="15" thickTop="1" thickBot="1" x14ac:dyDescent="0.35">
      <c r="D8" s="23"/>
      <c r="E8" s="23"/>
      <c r="F8" s="40"/>
      <c r="G8" s="5" t="s">
        <v>0</v>
      </c>
      <c r="H8" s="6" t="s">
        <v>2</v>
      </c>
      <c r="I8" s="7" t="s">
        <v>1</v>
      </c>
      <c r="J8" s="8" t="s">
        <v>62</v>
      </c>
      <c r="K8" s="9">
        <f>H5</f>
        <v>46357</v>
      </c>
      <c r="L8" s="9">
        <f>IF(K8&lt;$L$5,K8+1,"")</f>
        <v>46358</v>
      </c>
      <c r="M8" s="9">
        <f t="shared" ref="M8:AM8" si="1">IF(L8&lt;$L$5,L8+1,"")</f>
        <v>46359</v>
      </c>
      <c r="N8" s="9">
        <f t="shared" si="1"/>
        <v>46360</v>
      </c>
      <c r="O8" s="9">
        <f t="shared" si="1"/>
        <v>46361</v>
      </c>
      <c r="P8" s="9">
        <f t="shared" si="1"/>
        <v>46362</v>
      </c>
      <c r="Q8" s="9">
        <f t="shared" si="1"/>
        <v>46363</v>
      </c>
      <c r="R8" s="9">
        <f t="shared" si="1"/>
        <v>46364</v>
      </c>
      <c r="S8" s="9">
        <f t="shared" si="1"/>
        <v>46365</v>
      </c>
      <c r="T8" s="9">
        <f t="shared" si="1"/>
        <v>46366</v>
      </c>
      <c r="U8" s="9">
        <f t="shared" si="1"/>
        <v>46367</v>
      </c>
      <c r="V8" s="9">
        <f t="shared" si="1"/>
        <v>46368</v>
      </c>
      <c r="W8" s="9">
        <f t="shared" si="1"/>
        <v>46369</v>
      </c>
      <c r="X8" s="9">
        <f t="shared" si="1"/>
        <v>46370</v>
      </c>
      <c r="Y8" s="9">
        <f t="shared" si="1"/>
        <v>46371</v>
      </c>
      <c r="Z8" s="9">
        <f t="shared" si="1"/>
        <v>46372</v>
      </c>
      <c r="AA8" s="9">
        <f t="shared" si="1"/>
        <v>46373</v>
      </c>
      <c r="AB8" s="9">
        <f t="shared" si="1"/>
        <v>46374</v>
      </c>
      <c r="AC8" s="9">
        <f t="shared" si="1"/>
        <v>46375</v>
      </c>
      <c r="AD8" s="9">
        <f t="shared" si="1"/>
        <v>46376</v>
      </c>
      <c r="AE8" s="9">
        <f t="shared" si="1"/>
        <v>46377</v>
      </c>
      <c r="AF8" s="9">
        <f t="shared" si="1"/>
        <v>46378</v>
      </c>
      <c r="AG8" s="9">
        <f t="shared" si="1"/>
        <v>46379</v>
      </c>
      <c r="AH8" s="9">
        <f t="shared" si="1"/>
        <v>46380</v>
      </c>
      <c r="AI8" s="9">
        <f t="shared" si="1"/>
        <v>46381</v>
      </c>
      <c r="AJ8" s="9">
        <f t="shared" si="1"/>
        <v>46382</v>
      </c>
      <c r="AK8" s="9">
        <f t="shared" si="1"/>
        <v>46383</v>
      </c>
      <c r="AL8" s="9">
        <f t="shared" si="1"/>
        <v>46384</v>
      </c>
      <c r="AM8" s="9">
        <f t="shared" si="1"/>
        <v>46385</v>
      </c>
      <c r="AN8" s="9">
        <f t="shared" ref="AN8:AO8" si="2">IF(AM8&lt;=$L$5,AM8+1,"")</f>
        <v>46386</v>
      </c>
      <c r="AO8" s="10">
        <f t="shared" si="2"/>
        <v>46387</v>
      </c>
      <c r="AP8" s="41"/>
      <c r="AQ8" s="39"/>
      <c r="AR8" s="24" t="s">
        <v>0</v>
      </c>
      <c r="AS8" s="24" t="s">
        <v>2</v>
      </c>
      <c r="AT8" s="24" t="s">
        <v>79</v>
      </c>
      <c r="AU8" s="25" t="s">
        <v>1</v>
      </c>
      <c r="AV8" s="24" t="s">
        <v>68</v>
      </c>
      <c r="AW8" s="24" t="s">
        <v>69</v>
      </c>
      <c r="AX8" s="24" t="s">
        <v>70</v>
      </c>
      <c r="AY8" s="24" t="s">
        <v>71</v>
      </c>
      <c r="AZ8" s="24" t="s">
        <v>72</v>
      </c>
      <c r="BA8" s="24" t="s">
        <v>73</v>
      </c>
      <c r="BB8" s="24" t="s">
        <v>74</v>
      </c>
      <c r="BC8" s="24" t="s">
        <v>75</v>
      </c>
      <c r="BD8" s="24" t="s">
        <v>76</v>
      </c>
      <c r="BE8" s="24" t="s">
        <v>77</v>
      </c>
      <c r="BF8" s="24" t="s">
        <v>78</v>
      </c>
      <c r="BG8" s="38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4:71" ht="13.8" x14ac:dyDescent="0.3">
      <c r="D9" s="23"/>
      <c r="E9" s="23"/>
      <c r="F9" s="40"/>
      <c r="G9" s="11">
        <v>1</v>
      </c>
      <c r="H9" s="12" t="s">
        <v>32</v>
      </c>
      <c r="I9" s="13" t="s">
        <v>82</v>
      </c>
      <c r="J9" s="14">
        <f>COUNTIF($K$7:K7:$AO$7,"Sun")</f>
        <v>4</v>
      </c>
      <c r="K9" s="15"/>
      <c r="L9" s="15"/>
      <c r="M9" s="15"/>
      <c r="N9" s="15"/>
      <c r="O9" s="15"/>
      <c r="P9" s="15" t="str">
        <f t="shared" ref="P9:AK17" si="3">IF(P$7="Sun","WO","")</f>
        <v>WO</v>
      </c>
      <c r="Q9" s="15"/>
      <c r="R9" s="15"/>
      <c r="S9" s="15"/>
      <c r="T9" s="15"/>
      <c r="U9" s="15"/>
      <c r="V9" s="15"/>
      <c r="W9" s="15" t="str">
        <f t="shared" si="3"/>
        <v>WO</v>
      </c>
      <c r="X9" s="15"/>
      <c r="Y9" s="15"/>
      <c r="Z9" s="15"/>
      <c r="AA9" s="15"/>
      <c r="AB9" s="15"/>
      <c r="AC9" s="15"/>
      <c r="AD9" s="15" t="str">
        <f t="shared" si="3"/>
        <v>WO</v>
      </c>
      <c r="AE9" s="15"/>
      <c r="AF9" s="15"/>
      <c r="AG9" s="15"/>
      <c r="AH9" s="15"/>
      <c r="AI9" s="15"/>
      <c r="AJ9" s="15"/>
      <c r="AK9" s="15" t="str">
        <f t="shared" si="3"/>
        <v>WO</v>
      </c>
      <c r="AL9" s="15"/>
      <c r="AM9" s="15"/>
      <c r="AN9" s="15"/>
      <c r="AO9" s="16"/>
      <c r="AP9" s="40"/>
      <c r="AQ9" s="38"/>
      <c r="AR9" s="26">
        <v>1</v>
      </c>
      <c r="AS9" s="27" t="s">
        <v>32</v>
      </c>
      <c r="AT9" s="28" t="str">
        <f t="shared" ref="AT9:AT38" si="4">$J$5</f>
        <v>December</v>
      </c>
      <c r="AU9" s="29" t="str">
        <f>I9</f>
        <v>VIVEK</v>
      </c>
      <c r="AV9" s="30">
        <f t="shared" ref="AV9:AV38" si="5">COUNTIF($K9:$AO9,"*P*")</f>
        <v>0</v>
      </c>
      <c r="AW9" s="30">
        <f t="shared" ref="AW9:AW38" si="6">COUNTIF($K9:$AO9,"*A*")</f>
        <v>0</v>
      </c>
      <c r="AX9" s="30">
        <f t="shared" ref="AX9:AX38" si="7">COUNTIF($K9:$AO9,"L")</f>
        <v>0</v>
      </c>
      <c r="AY9" s="30">
        <f t="shared" ref="AY9:AY38" si="8">J9</f>
        <v>4</v>
      </c>
      <c r="AZ9" s="30">
        <f t="shared" ref="AZ9:AZ38" si="9">$I$5</f>
        <v>31</v>
      </c>
      <c r="BA9" s="30">
        <f>dec_repo[[#This Row],[Days]]-dec_repo[[#This Row],[Absent]]</f>
        <v>31</v>
      </c>
      <c r="BB9" s="31">
        <v>11000</v>
      </c>
      <c r="BC9" s="32">
        <f>dec_repo[[#This Row],[Salary]]/dec_repo[[#This Row],[Days]]</f>
        <v>354.83870967741933</v>
      </c>
      <c r="BD9" s="30">
        <f>dec_repo[[#This Row],[Per Day Salary]]*dec_repo[[#This Row],[Absent]]</f>
        <v>0</v>
      </c>
      <c r="BE9" s="30">
        <f>dec_repo[[#This Row],[Salary]]-dec_repo[[#This Row],[Deduction]]</f>
        <v>11000</v>
      </c>
      <c r="BF9" s="33"/>
      <c r="BG9" s="38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4:71" ht="13.8" x14ac:dyDescent="0.3">
      <c r="D10" s="23"/>
      <c r="E10" s="23"/>
      <c r="F10" s="40"/>
      <c r="G10" s="11">
        <v>2</v>
      </c>
      <c r="H10" s="12" t="s">
        <v>33</v>
      </c>
      <c r="I10" s="13" t="s">
        <v>83</v>
      </c>
      <c r="J10" s="14">
        <f>COUNTIF($K$7:K8:$AO$7,"Sun")</f>
        <v>4</v>
      </c>
      <c r="K10" s="15"/>
      <c r="L10" s="15"/>
      <c r="M10" s="15"/>
      <c r="N10" s="15"/>
      <c r="O10" s="15"/>
      <c r="P10" s="15" t="str">
        <f t="shared" si="3"/>
        <v>WO</v>
      </c>
      <c r="Q10" s="15"/>
      <c r="R10" s="15"/>
      <c r="S10" s="15"/>
      <c r="T10" s="15"/>
      <c r="U10" s="15"/>
      <c r="V10" s="15"/>
      <c r="W10" s="15" t="str">
        <f t="shared" si="3"/>
        <v>WO</v>
      </c>
      <c r="X10" s="15"/>
      <c r="Y10" s="15"/>
      <c r="Z10" s="15"/>
      <c r="AA10" s="15"/>
      <c r="AB10" s="15"/>
      <c r="AC10" s="15"/>
      <c r="AD10" s="15" t="str">
        <f t="shared" si="3"/>
        <v>WO</v>
      </c>
      <c r="AE10" s="15"/>
      <c r="AF10" s="15"/>
      <c r="AG10" s="15"/>
      <c r="AH10" s="15"/>
      <c r="AI10" s="15"/>
      <c r="AJ10" s="15"/>
      <c r="AK10" s="15" t="str">
        <f t="shared" si="3"/>
        <v>WO</v>
      </c>
      <c r="AL10" s="15"/>
      <c r="AM10" s="15"/>
      <c r="AN10" s="15"/>
      <c r="AO10" s="16"/>
      <c r="AP10" s="40"/>
      <c r="AQ10" s="38"/>
      <c r="AR10" s="34">
        <v>2</v>
      </c>
      <c r="AS10" s="35" t="s">
        <v>33</v>
      </c>
      <c r="AT10" s="28" t="str">
        <f t="shared" si="4"/>
        <v>December</v>
      </c>
      <c r="AU10" s="29" t="str">
        <f t="shared" ref="AU10:AU38" si="10">I10</f>
        <v>GAUTAM</v>
      </c>
      <c r="AV10" s="30">
        <f t="shared" si="5"/>
        <v>0</v>
      </c>
      <c r="AW10" s="30">
        <f t="shared" si="6"/>
        <v>0</v>
      </c>
      <c r="AX10" s="30">
        <f t="shared" si="7"/>
        <v>0</v>
      </c>
      <c r="AY10" s="30">
        <f t="shared" si="8"/>
        <v>4</v>
      </c>
      <c r="AZ10" s="30">
        <f t="shared" si="9"/>
        <v>31</v>
      </c>
      <c r="BA10" s="30">
        <f>dec_repo[[#This Row],[Days]]-dec_repo[[#This Row],[Absent]]</f>
        <v>31</v>
      </c>
      <c r="BB10" s="31">
        <v>11000</v>
      </c>
      <c r="BC10" s="32">
        <f>dec_repo[[#This Row],[Salary]]/dec_repo[[#This Row],[Days]]</f>
        <v>354.83870967741933</v>
      </c>
      <c r="BD10" s="30">
        <f>dec_repo[[#This Row],[Per Day Salary]]*dec_repo[[#This Row],[Absent]]</f>
        <v>0</v>
      </c>
      <c r="BE10" s="30">
        <f>dec_repo[[#This Row],[Salary]]-dec_repo[[#This Row],[Deduction]]</f>
        <v>11000</v>
      </c>
      <c r="BF10" s="33"/>
      <c r="BG10" s="38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4:71" ht="13.8" x14ac:dyDescent="0.3">
      <c r="D11" s="23"/>
      <c r="E11" s="23"/>
      <c r="F11" s="40"/>
      <c r="G11" s="11">
        <v>3</v>
      </c>
      <c r="H11" s="12" t="s">
        <v>34</v>
      </c>
      <c r="I11" s="13" t="s">
        <v>84</v>
      </c>
      <c r="J11" s="14">
        <f>COUNTIF($K$7:K9:$AO$7,"Sun")</f>
        <v>4</v>
      </c>
      <c r="K11" s="15"/>
      <c r="L11" s="15"/>
      <c r="M11" s="15"/>
      <c r="N11" s="15"/>
      <c r="O11" s="15"/>
      <c r="P11" s="15" t="str">
        <f t="shared" si="3"/>
        <v>WO</v>
      </c>
      <c r="Q11" s="15"/>
      <c r="R11" s="15"/>
      <c r="S11" s="15"/>
      <c r="T11" s="15"/>
      <c r="U11" s="15"/>
      <c r="V11" s="15"/>
      <c r="W11" s="15" t="str">
        <f t="shared" si="3"/>
        <v>WO</v>
      </c>
      <c r="X11" s="15"/>
      <c r="Y11" s="15"/>
      <c r="Z11" s="15"/>
      <c r="AA11" s="15"/>
      <c r="AB11" s="15"/>
      <c r="AC11" s="15"/>
      <c r="AD11" s="15" t="str">
        <f t="shared" si="3"/>
        <v>WO</v>
      </c>
      <c r="AE11" s="15"/>
      <c r="AF11" s="15"/>
      <c r="AG11" s="15"/>
      <c r="AH11" s="15"/>
      <c r="AI11" s="15"/>
      <c r="AJ11" s="15"/>
      <c r="AK11" s="15" t="str">
        <f t="shared" si="3"/>
        <v>WO</v>
      </c>
      <c r="AL11" s="15"/>
      <c r="AM11" s="15"/>
      <c r="AN11" s="15"/>
      <c r="AO11" s="16"/>
      <c r="AP11" s="40"/>
      <c r="AQ11" s="38"/>
      <c r="AR11" s="34">
        <v>3</v>
      </c>
      <c r="AS11" s="35" t="s">
        <v>34</v>
      </c>
      <c r="AT11" s="28" t="str">
        <f t="shared" si="4"/>
        <v>December</v>
      </c>
      <c r="AU11" s="29" t="str">
        <f t="shared" si="10"/>
        <v>VAIBHAV</v>
      </c>
      <c r="AV11" s="30">
        <f t="shared" si="5"/>
        <v>0</v>
      </c>
      <c r="AW11" s="30">
        <f t="shared" si="6"/>
        <v>0</v>
      </c>
      <c r="AX11" s="30">
        <f t="shared" si="7"/>
        <v>0</v>
      </c>
      <c r="AY11" s="30">
        <f t="shared" si="8"/>
        <v>4</v>
      </c>
      <c r="AZ11" s="30">
        <f t="shared" si="9"/>
        <v>31</v>
      </c>
      <c r="BA11" s="30">
        <f>dec_repo[[#This Row],[Days]]-dec_repo[[#This Row],[Absent]]</f>
        <v>31</v>
      </c>
      <c r="BB11" s="31">
        <v>11000</v>
      </c>
      <c r="BC11" s="32">
        <f>dec_repo[[#This Row],[Salary]]/dec_repo[[#This Row],[Days]]</f>
        <v>354.83870967741933</v>
      </c>
      <c r="BD11" s="30">
        <f>dec_repo[[#This Row],[Per Day Salary]]*dec_repo[[#This Row],[Absent]]</f>
        <v>0</v>
      </c>
      <c r="BE11" s="30">
        <f>dec_repo[[#This Row],[Salary]]-dec_repo[[#This Row],[Deduction]]</f>
        <v>11000</v>
      </c>
      <c r="BF11" s="33"/>
      <c r="BG11" s="38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4:71" ht="13.8" x14ac:dyDescent="0.3">
      <c r="D12" s="23"/>
      <c r="E12" s="23"/>
      <c r="F12" s="40"/>
      <c r="G12" s="11">
        <v>4</v>
      </c>
      <c r="H12" s="12" t="s">
        <v>35</v>
      </c>
      <c r="I12" s="13" t="s">
        <v>85</v>
      </c>
      <c r="J12" s="14">
        <f>COUNTIF($K$7:K10:$AO$7,"Sun")</f>
        <v>4</v>
      </c>
      <c r="K12" s="15"/>
      <c r="L12" s="15"/>
      <c r="M12" s="15"/>
      <c r="N12" s="15"/>
      <c r="O12" s="15"/>
      <c r="P12" s="15" t="str">
        <f t="shared" si="3"/>
        <v>WO</v>
      </c>
      <c r="Q12" s="15"/>
      <c r="R12" s="15"/>
      <c r="S12" s="15"/>
      <c r="T12" s="15"/>
      <c r="U12" s="15"/>
      <c r="V12" s="15"/>
      <c r="W12" s="15" t="str">
        <f t="shared" si="3"/>
        <v>WO</v>
      </c>
      <c r="X12" s="15"/>
      <c r="Y12" s="15"/>
      <c r="Z12" s="15"/>
      <c r="AA12" s="15"/>
      <c r="AB12" s="15"/>
      <c r="AC12" s="15"/>
      <c r="AD12" s="15" t="str">
        <f t="shared" si="3"/>
        <v>WO</v>
      </c>
      <c r="AE12" s="15"/>
      <c r="AF12" s="15"/>
      <c r="AG12" s="15"/>
      <c r="AH12" s="15"/>
      <c r="AI12" s="15"/>
      <c r="AJ12" s="15"/>
      <c r="AK12" s="15" t="str">
        <f t="shared" si="3"/>
        <v>WO</v>
      </c>
      <c r="AL12" s="15"/>
      <c r="AM12" s="15"/>
      <c r="AN12" s="15"/>
      <c r="AO12" s="16"/>
      <c r="AP12" s="40"/>
      <c r="AQ12" s="38"/>
      <c r="AR12" s="34">
        <v>4</v>
      </c>
      <c r="AS12" s="35" t="s">
        <v>35</v>
      </c>
      <c r="AT12" s="28" t="str">
        <f t="shared" si="4"/>
        <v>December</v>
      </c>
      <c r="AU12" s="29" t="str">
        <f t="shared" si="10"/>
        <v>RAJIV</v>
      </c>
      <c r="AV12" s="30">
        <f t="shared" si="5"/>
        <v>0</v>
      </c>
      <c r="AW12" s="30">
        <f t="shared" si="6"/>
        <v>0</v>
      </c>
      <c r="AX12" s="30">
        <f t="shared" si="7"/>
        <v>0</v>
      </c>
      <c r="AY12" s="30">
        <f t="shared" si="8"/>
        <v>4</v>
      </c>
      <c r="AZ12" s="30">
        <f t="shared" si="9"/>
        <v>31</v>
      </c>
      <c r="BA12" s="30">
        <f>dec_repo[[#This Row],[Days]]-dec_repo[[#This Row],[Absent]]</f>
        <v>31</v>
      </c>
      <c r="BB12" s="31">
        <v>11000</v>
      </c>
      <c r="BC12" s="32">
        <f>dec_repo[[#This Row],[Salary]]/dec_repo[[#This Row],[Days]]</f>
        <v>354.83870967741933</v>
      </c>
      <c r="BD12" s="30">
        <f>dec_repo[[#This Row],[Per Day Salary]]*dec_repo[[#This Row],[Absent]]</f>
        <v>0</v>
      </c>
      <c r="BE12" s="30">
        <f>dec_repo[[#This Row],[Salary]]-dec_repo[[#This Row],[Deduction]]</f>
        <v>11000</v>
      </c>
      <c r="BF12" s="33"/>
      <c r="BG12" s="38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4:71" ht="13.8" x14ac:dyDescent="0.3">
      <c r="D13" s="23"/>
      <c r="E13" s="23"/>
      <c r="F13" s="40"/>
      <c r="G13" s="11">
        <v>5</v>
      </c>
      <c r="H13" s="12" t="s">
        <v>36</v>
      </c>
      <c r="I13" s="13" t="s">
        <v>6</v>
      </c>
      <c r="J13" s="14">
        <f>COUNTIF($K$7:K11:$AO$7,"Sun")</f>
        <v>4</v>
      </c>
      <c r="K13" s="15"/>
      <c r="L13" s="15"/>
      <c r="M13" s="15"/>
      <c r="N13" s="15"/>
      <c r="O13" s="15"/>
      <c r="P13" s="15" t="str">
        <f t="shared" si="3"/>
        <v>WO</v>
      </c>
      <c r="Q13" s="15"/>
      <c r="R13" s="15"/>
      <c r="S13" s="15"/>
      <c r="T13" s="15"/>
      <c r="U13" s="15"/>
      <c r="V13" s="15"/>
      <c r="W13" s="15" t="str">
        <f t="shared" si="3"/>
        <v>WO</v>
      </c>
      <c r="X13" s="15"/>
      <c r="Y13" s="15"/>
      <c r="Z13" s="15"/>
      <c r="AA13" s="15"/>
      <c r="AB13" s="15"/>
      <c r="AC13" s="15"/>
      <c r="AD13" s="15" t="str">
        <f t="shared" si="3"/>
        <v>WO</v>
      </c>
      <c r="AE13" s="15"/>
      <c r="AF13" s="15"/>
      <c r="AG13" s="15"/>
      <c r="AH13" s="15"/>
      <c r="AI13" s="15"/>
      <c r="AJ13" s="15"/>
      <c r="AK13" s="15" t="str">
        <f t="shared" si="3"/>
        <v>WO</v>
      </c>
      <c r="AL13" s="15"/>
      <c r="AM13" s="15"/>
      <c r="AN13" s="15"/>
      <c r="AO13" s="16"/>
      <c r="AP13" s="40"/>
      <c r="AQ13" s="38"/>
      <c r="AR13" s="34">
        <v>5</v>
      </c>
      <c r="AS13" s="35" t="s">
        <v>36</v>
      </c>
      <c r="AT13" s="28" t="str">
        <f t="shared" si="4"/>
        <v>December</v>
      </c>
      <c r="AU13" s="29" t="str">
        <f t="shared" si="10"/>
        <v>Name 5</v>
      </c>
      <c r="AV13" s="30">
        <f t="shared" si="5"/>
        <v>0</v>
      </c>
      <c r="AW13" s="30">
        <f t="shared" si="6"/>
        <v>0</v>
      </c>
      <c r="AX13" s="30">
        <f t="shared" si="7"/>
        <v>0</v>
      </c>
      <c r="AY13" s="30">
        <f t="shared" si="8"/>
        <v>4</v>
      </c>
      <c r="AZ13" s="30">
        <f t="shared" si="9"/>
        <v>31</v>
      </c>
      <c r="BA13" s="30">
        <f>dec_repo[[#This Row],[Days]]-dec_repo[[#This Row],[Absent]]</f>
        <v>31</v>
      </c>
      <c r="BB13" s="31">
        <v>0</v>
      </c>
      <c r="BC13" s="32">
        <f>dec_repo[[#This Row],[Salary]]/dec_repo[[#This Row],[Days]]</f>
        <v>0</v>
      </c>
      <c r="BD13" s="30">
        <f>dec_repo[[#This Row],[Per Day Salary]]*dec_repo[[#This Row],[Absent]]</f>
        <v>0</v>
      </c>
      <c r="BE13" s="30">
        <f>dec_repo[[#This Row],[Salary]]-dec_repo[[#This Row],[Deduction]]</f>
        <v>0</v>
      </c>
      <c r="BF13" s="33"/>
      <c r="BG13" s="38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4:71" ht="13.8" x14ac:dyDescent="0.3">
      <c r="D14" s="23"/>
      <c r="E14" s="23"/>
      <c r="F14" s="40"/>
      <c r="G14" s="11">
        <v>6</v>
      </c>
      <c r="H14" s="12" t="s">
        <v>37</v>
      </c>
      <c r="I14" s="13" t="s">
        <v>7</v>
      </c>
      <c r="J14" s="14">
        <f>COUNTIF($K$7:K12:$AO$7,"Sun")</f>
        <v>4</v>
      </c>
      <c r="K14" s="15"/>
      <c r="L14" s="15"/>
      <c r="M14" s="15"/>
      <c r="N14" s="15"/>
      <c r="O14" s="15"/>
      <c r="P14" s="15" t="str">
        <f t="shared" si="3"/>
        <v>WO</v>
      </c>
      <c r="Q14" s="15"/>
      <c r="R14" s="15"/>
      <c r="S14" s="15"/>
      <c r="T14" s="15"/>
      <c r="U14" s="15"/>
      <c r="V14" s="15"/>
      <c r="W14" s="15" t="str">
        <f t="shared" si="3"/>
        <v>WO</v>
      </c>
      <c r="X14" s="15"/>
      <c r="Y14" s="15"/>
      <c r="Z14" s="15"/>
      <c r="AA14" s="15"/>
      <c r="AB14" s="15"/>
      <c r="AC14" s="15"/>
      <c r="AD14" s="15" t="str">
        <f t="shared" si="3"/>
        <v>WO</v>
      </c>
      <c r="AE14" s="15"/>
      <c r="AF14" s="15"/>
      <c r="AG14" s="15"/>
      <c r="AH14" s="15"/>
      <c r="AI14" s="15"/>
      <c r="AJ14" s="15"/>
      <c r="AK14" s="15" t="str">
        <f t="shared" si="3"/>
        <v>WO</v>
      </c>
      <c r="AL14" s="15"/>
      <c r="AM14" s="15"/>
      <c r="AN14" s="15"/>
      <c r="AO14" s="16"/>
      <c r="AP14" s="40"/>
      <c r="AQ14" s="38"/>
      <c r="AR14" s="34">
        <v>6</v>
      </c>
      <c r="AS14" s="35" t="s">
        <v>37</v>
      </c>
      <c r="AT14" s="28" t="str">
        <f t="shared" si="4"/>
        <v>December</v>
      </c>
      <c r="AU14" s="29" t="str">
        <f t="shared" si="10"/>
        <v>Name 6</v>
      </c>
      <c r="AV14" s="30">
        <f t="shared" si="5"/>
        <v>0</v>
      </c>
      <c r="AW14" s="30">
        <f t="shared" si="6"/>
        <v>0</v>
      </c>
      <c r="AX14" s="30">
        <f t="shared" si="7"/>
        <v>0</v>
      </c>
      <c r="AY14" s="30">
        <f t="shared" si="8"/>
        <v>4</v>
      </c>
      <c r="AZ14" s="30">
        <f t="shared" si="9"/>
        <v>31</v>
      </c>
      <c r="BA14" s="30">
        <f>dec_repo[[#This Row],[Days]]-dec_repo[[#This Row],[Absent]]</f>
        <v>31</v>
      </c>
      <c r="BB14" s="31">
        <v>0</v>
      </c>
      <c r="BC14" s="32">
        <f>dec_repo[[#This Row],[Salary]]/dec_repo[[#This Row],[Days]]</f>
        <v>0</v>
      </c>
      <c r="BD14" s="30">
        <f>dec_repo[[#This Row],[Per Day Salary]]*dec_repo[[#This Row],[Absent]]</f>
        <v>0</v>
      </c>
      <c r="BE14" s="30">
        <f>dec_repo[[#This Row],[Salary]]-dec_repo[[#This Row],[Deduction]]</f>
        <v>0</v>
      </c>
      <c r="BF14" s="33"/>
      <c r="BG14" s="38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4:71" ht="13.8" x14ac:dyDescent="0.3">
      <c r="D15" s="23"/>
      <c r="E15" s="23"/>
      <c r="F15" s="40"/>
      <c r="G15" s="11">
        <v>7</v>
      </c>
      <c r="H15" s="12" t="s">
        <v>38</v>
      </c>
      <c r="I15" s="13" t="s">
        <v>8</v>
      </c>
      <c r="J15" s="14">
        <f>COUNTIF($K$7:K13:$AO$7,"Sun")</f>
        <v>4</v>
      </c>
      <c r="K15" s="15"/>
      <c r="L15" s="15"/>
      <c r="M15" s="15"/>
      <c r="N15" s="15"/>
      <c r="O15" s="15"/>
      <c r="P15" s="15" t="str">
        <f t="shared" si="3"/>
        <v>WO</v>
      </c>
      <c r="Q15" s="15"/>
      <c r="R15" s="15"/>
      <c r="S15" s="15"/>
      <c r="T15" s="15"/>
      <c r="U15" s="15"/>
      <c r="V15" s="15"/>
      <c r="W15" s="15" t="str">
        <f t="shared" si="3"/>
        <v>WO</v>
      </c>
      <c r="X15" s="15"/>
      <c r="Y15" s="15"/>
      <c r="Z15" s="15"/>
      <c r="AA15" s="15"/>
      <c r="AB15" s="15"/>
      <c r="AC15" s="15"/>
      <c r="AD15" s="15" t="str">
        <f t="shared" si="3"/>
        <v>WO</v>
      </c>
      <c r="AE15" s="15"/>
      <c r="AF15" s="15"/>
      <c r="AG15" s="15"/>
      <c r="AH15" s="15"/>
      <c r="AI15" s="15"/>
      <c r="AJ15" s="15"/>
      <c r="AK15" s="15" t="str">
        <f t="shared" si="3"/>
        <v>WO</v>
      </c>
      <c r="AL15" s="15"/>
      <c r="AM15" s="15"/>
      <c r="AN15" s="15"/>
      <c r="AO15" s="16"/>
      <c r="AP15" s="40"/>
      <c r="AQ15" s="38"/>
      <c r="AR15" s="34">
        <v>7</v>
      </c>
      <c r="AS15" s="35" t="s">
        <v>38</v>
      </c>
      <c r="AT15" s="28" t="str">
        <f t="shared" si="4"/>
        <v>December</v>
      </c>
      <c r="AU15" s="29" t="str">
        <f t="shared" si="10"/>
        <v>Name 7</v>
      </c>
      <c r="AV15" s="30">
        <f t="shared" si="5"/>
        <v>0</v>
      </c>
      <c r="AW15" s="30">
        <f t="shared" si="6"/>
        <v>0</v>
      </c>
      <c r="AX15" s="30">
        <f t="shared" si="7"/>
        <v>0</v>
      </c>
      <c r="AY15" s="30">
        <f t="shared" si="8"/>
        <v>4</v>
      </c>
      <c r="AZ15" s="30">
        <f t="shared" si="9"/>
        <v>31</v>
      </c>
      <c r="BA15" s="30">
        <f>dec_repo[[#This Row],[Days]]-dec_repo[[#This Row],[Absent]]</f>
        <v>31</v>
      </c>
      <c r="BB15" s="31">
        <v>0</v>
      </c>
      <c r="BC15" s="32">
        <f>dec_repo[[#This Row],[Salary]]/dec_repo[[#This Row],[Days]]</f>
        <v>0</v>
      </c>
      <c r="BD15" s="30">
        <f>dec_repo[[#This Row],[Per Day Salary]]*dec_repo[[#This Row],[Absent]]</f>
        <v>0</v>
      </c>
      <c r="BE15" s="30">
        <f>dec_repo[[#This Row],[Salary]]-dec_repo[[#This Row],[Deduction]]</f>
        <v>0</v>
      </c>
      <c r="BF15" s="33"/>
      <c r="BG15" s="38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4:71" ht="13.8" x14ac:dyDescent="0.3">
      <c r="D16" s="23"/>
      <c r="E16" s="23"/>
      <c r="F16" s="40"/>
      <c r="G16" s="11">
        <v>8</v>
      </c>
      <c r="H16" s="12" t="s">
        <v>39</v>
      </c>
      <c r="I16" s="13" t="s">
        <v>9</v>
      </c>
      <c r="J16" s="14">
        <f>COUNTIF($K$7:K14:$AO$7,"Sun")</f>
        <v>4</v>
      </c>
      <c r="K16" s="15"/>
      <c r="L16" s="15"/>
      <c r="M16" s="15"/>
      <c r="N16" s="15"/>
      <c r="O16" s="15"/>
      <c r="P16" s="15" t="str">
        <f t="shared" si="3"/>
        <v>WO</v>
      </c>
      <c r="Q16" s="15"/>
      <c r="R16" s="15"/>
      <c r="S16" s="15"/>
      <c r="T16" s="15"/>
      <c r="U16" s="15"/>
      <c r="V16" s="15"/>
      <c r="W16" s="15" t="str">
        <f t="shared" si="3"/>
        <v>WO</v>
      </c>
      <c r="X16" s="15"/>
      <c r="Y16" s="15"/>
      <c r="Z16" s="15"/>
      <c r="AA16" s="15"/>
      <c r="AB16" s="15"/>
      <c r="AC16" s="15"/>
      <c r="AD16" s="15" t="str">
        <f t="shared" si="3"/>
        <v>WO</v>
      </c>
      <c r="AE16" s="15"/>
      <c r="AF16" s="15"/>
      <c r="AG16" s="15"/>
      <c r="AH16" s="15"/>
      <c r="AI16" s="15"/>
      <c r="AJ16" s="15"/>
      <c r="AK16" s="15" t="str">
        <f t="shared" si="3"/>
        <v>WO</v>
      </c>
      <c r="AL16" s="15"/>
      <c r="AM16" s="15"/>
      <c r="AN16" s="15"/>
      <c r="AO16" s="16"/>
      <c r="AP16" s="40"/>
      <c r="AQ16" s="38"/>
      <c r="AR16" s="34">
        <v>8</v>
      </c>
      <c r="AS16" s="35" t="s">
        <v>39</v>
      </c>
      <c r="AT16" s="28" t="str">
        <f t="shared" si="4"/>
        <v>December</v>
      </c>
      <c r="AU16" s="29" t="str">
        <f t="shared" si="10"/>
        <v>Name 8</v>
      </c>
      <c r="AV16" s="30">
        <f t="shared" si="5"/>
        <v>0</v>
      </c>
      <c r="AW16" s="30">
        <f t="shared" si="6"/>
        <v>0</v>
      </c>
      <c r="AX16" s="30">
        <f t="shared" si="7"/>
        <v>0</v>
      </c>
      <c r="AY16" s="30">
        <f t="shared" si="8"/>
        <v>4</v>
      </c>
      <c r="AZ16" s="30">
        <f t="shared" si="9"/>
        <v>31</v>
      </c>
      <c r="BA16" s="30">
        <f>dec_repo[[#This Row],[Days]]-dec_repo[[#This Row],[Absent]]</f>
        <v>31</v>
      </c>
      <c r="BB16" s="31">
        <v>0</v>
      </c>
      <c r="BC16" s="32">
        <f>dec_repo[[#This Row],[Salary]]/dec_repo[[#This Row],[Days]]</f>
        <v>0</v>
      </c>
      <c r="BD16" s="30">
        <f>dec_repo[[#This Row],[Per Day Salary]]*dec_repo[[#This Row],[Absent]]</f>
        <v>0</v>
      </c>
      <c r="BE16" s="30">
        <f>dec_repo[[#This Row],[Salary]]-dec_repo[[#This Row],[Deduction]]</f>
        <v>0</v>
      </c>
      <c r="BF16" s="33"/>
      <c r="BG16" s="38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4:71" ht="13.8" x14ac:dyDescent="0.3">
      <c r="D17" s="23"/>
      <c r="E17" s="23"/>
      <c r="F17" s="40"/>
      <c r="G17" s="11">
        <v>9</v>
      </c>
      <c r="H17" s="12" t="s">
        <v>40</v>
      </c>
      <c r="I17" s="13" t="s">
        <v>10</v>
      </c>
      <c r="J17" s="14">
        <f>COUNTIF($K$7:K15:$AO$7,"Sun")</f>
        <v>4</v>
      </c>
      <c r="K17" s="15"/>
      <c r="L17" s="15"/>
      <c r="M17" s="15"/>
      <c r="N17" s="15"/>
      <c r="O17" s="15"/>
      <c r="P17" s="15" t="str">
        <f t="shared" si="3"/>
        <v>WO</v>
      </c>
      <c r="Q17" s="15"/>
      <c r="R17" s="15"/>
      <c r="S17" s="15"/>
      <c r="T17" s="15"/>
      <c r="U17" s="15"/>
      <c r="V17" s="15"/>
      <c r="W17" s="15" t="str">
        <f t="shared" si="3"/>
        <v>WO</v>
      </c>
      <c r="X17" s="15"/>
      <c r="Y17" s="15"/>
      <c r="Z17" s="15"/>
      <c r="AA17" s="15"/>
      <c r="AB17" s="15"/>
      <c r="AC17" s="15"/>
      <c r="AD17" s="15" t="str">
        <f t="shared" ref="AD17:AK34" si="11">IF(AD$7="Sun","WO","")</f>
        <v>WO</v>
      </c>
      <c r="AE17" s="15"/>
      <c r="AF17" s="15"/>
      <c r="AG17" s="15"/>
      <c r="AH17" s="15"/>
      <c r="AI17" s="15"/>
      <c r="AJ17" s="15"/>
      <c r="AK17" s="15" t="str">
        <f t="shared" si="11"/>
        <v>WO</v>
      </c>
      <c r="AL17" s="15"/>
      <c r="AM17" s="15"/>
      <c r="AN17" s="15"/>
      <c r="AO17" s="16"/>
      <c r="AP17" s="40"/>
      <c r="AQ17" s="38"/>
      <c r="AR17" s="34">
        <v>9</v>
      </c>
      <c r="AS17" s="35" t="s">
        <v>40</v>
      </c>
      <c r="AT17" s="28" t="str">
        <f t="shared" si="4"/>
        <v>December</v>
      </c>
      <c r="AU17" s="29" t="str">
        <f t="shared" si="10"/>
        <v>Name 9</v>
      </c>
      <c r="AV17" s="30">
        <f t="shared" si="5"/>
        <v>0</v>
      </c>
      <c r="AW17" s="30">
        <f t="shared" si="6"/>
        <v>0</v>
      </c>
      <c r="AX17" s="30">
        <f t="shared" si="7"/>
        <v>0</v>
      </c>
      <c r="AY17" s="30">
        <f t="shared" si="8"/>
        <v>4</v>
      </c>
      <c r="AZ17" s="30">
        <f t="shared" si="9"/>
        <v>31</v>
      </c>
      <c r="BA17" s="30">
        <f>dec_repo[[#This Row],[Days]]-dec_repo[[#This Row],[Absent]]</f>
        <v>31</v>
      </c>
      <c r="BB17" s="31">
        <v>0</v>
      </c>
      <c r="BC17" s="32">
        <f>dec_repo[[#This Row],[Salary]]/dec_repo[[#This Row],[Days]]</f>
        <v>0</v>
      </c>
      <c r="BD17" s="30">
        <f>dec_repo[[#This Row],[Per Day Salary]]*dec_repo[[#This Row],[Absent]]</f>
        <v>0</v>
      </c>
      <c r="BE17" s="30">
        <f>dec_repo[[#This Row],[Salary]]-dec_repo[[#This Row],[Deduction]]</f>
        <v>0</v>
      </c>
      <c r="BF17" s="33"/>
      <c r="BG17" s="38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4:71" ht="13.8" x14ac:dyDescent="0.3">
      <c r="D18" s="23"/>
      <c r="E18" s="23"/>
      <c r="F18" s="40"/>
      <c r="G18" s="11">
        <v>10</v>
      </c>
      <c r="H18" s="12" t="s">
        <v>41</v>
      </c>
      <c r="I18" s="13" t="s">
        <v>11</v>
      </c>
      <c r="J18" s="14">
        <f>COUNTIF($K$7:K16:$AO$7,"Sun")</f>
        <v>4</v>
      </c>
      <c r="K18" s="15"/>
      <c r="L18" s="15"/>
      <c r="M18" s="15"/>
      <c r="N18" s="15"/>
      <c r="O18" s="15"/>
      <c r="P18" s="15" t="str">
        <f t="shared" ref="P18:W33" si="12">IF(P$7="Sun","WO","")</f>
        <v>WO</v>
      </c>
      <c r="Q18" s="15"/>
      <c r="R18" s="15"/>
      <c r="S18" s="15"/>
      <c r="T18" s="15"/>
      <c r="U18" s="15"/>
      <c r="V18" s="15"/>
      <c r="W18" s="15" t="str">
        <f t="shared" si="12"/>
        <v>WO</v>
      </c>
      <c r="X18" s="15"/>
      <c r="Y18" s="15"/>
      <c r="Z18" s="15"/>
      <c r="AA18" s="15"/>
      <c r="AB18" s="15"/>
      <c r="AC18" s="15"/>
      <c r="AD18" s="15" t="str">
        <f t="shared" si="11"/>
        <v>WO</v>
      </c>
      <c r="AE18" s="15"/>
      <c r="AF18" s="15"/>
      <c r="AG18" s="15"/>
      <c r="AH18" s="15"/>
      <c r="AI18" s="15"/>
      <c r="AJ18" s="15"/>
      <c r="AK18" s="15" t="str">
        <f t="shared" si="11"/>
        <v>WO</v>
      </c>
      <c r="AL18" s="15"/>
      <c r="AM18" s="15"/>
      <c r="AN18" s="15"/>
      <c r="AO18" s="16"/>
      <c r="AP18" s="40"/>
      <c r="AQ18" s="38"/>
      <c r="AR18" s="34">
        <v>10</v>
      </c>
      <c r="AS18" s="35" t="s">
        <v>41</v>
      </c>
      <c r="AT18" s="28" t="str">
        <f t="shared" si="4"/>
        <v>December</v>
      </c>
      <c r="AU18" s="29" t="str">
        <f t="shared" si="10"/>
        <v>Name 10</v>
      </c>
      <c r="AV18" s="30">
        <f t="shared" si="5"/>
        <v>0</v>
      </c>
      <c r="AW18" s="30">
        <f t="shared" si="6"/>
        <v>0</v>
      </c>
      <c r="AX18" s="30">
        <f t="shared" si="7"/>
        <v>0</v>
      </c>
      <c r="AY18" s="30">
        <f t="shared" si="8"/>
        <v>4</v>
      </c>
      <c r="AZ18" s="30">
        <f t="shared" si="9"/>
        <v>31</v>
      </c>
      <c r="BA18" s="30">
        <f>dec_repo[[#This Row],[Days]]-dec_repo[[#This Row],[Absent]]</f>
        <v>31</v>
      </c>
      <c r="BB18" s="31">
        <v>0</v>
      </c>
      <c r="BC18" s="32">
        <f>dec_repo[[#This Row],[Salary]]/dec_repo[[#This Row],[Days]]</f>
        <v>0</v>
      </c>
      <c r="BD18" s="30">
        <f>dec_repo[[#This Row],[Per Day Salary]]*dec_repo[[#This Row],[Absent]]</f>
        <v>0</v>
      </c>
      <c r="BE18" s="30">
        <f>dec_repo[[#This Row],[Salary]]-dec_repo[[#This Row],[Deduction]]</f>
        <v>0</v>
      </c>
      <c r="BF18" s="33"/>
      <c r="BG18" s="38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4:71" ht="13.8" x14ac:dyDescent="0.3">
      <c r="D19" s="23"/>
      <c r="E19" s="23"/>
      <c r="F19" s="40"/>
      <c r="G19" s="11">
        <v>11</v>
      </c>
      <c r="H19" s="12" t="s">
        <v>42</v>
      </c>
      <c r="I19" s="13" t="s">
        <v>12</v>
      </c>
      <c r="J19" s="14">
        <f>COUNTIF($K$7:K17:$AO$7,"Sun")</f>
        <v>4</v>
      </c>
      <c r="K19" s="15"/>
      <c r="L19" s="15"/>
      <c r="M19" s="15"/>
      <c r="N19" s="15"/>
      <c r="O19" s="15"/>
      <c r="P19" s="15" t="str">
        <f t="shared" si="12"/>
        <v>WO</v>
      </c>
      <c r="Q19" s="15"/>
      <c r="R19" s="15"/>
      <c r="S19" s="15"/>
      <c r="T19" s="15"/>
      <c r="U19" s="15"/>
      <c r="V19" s="15"/>
      <c r="W19" s="15" t="str">
        <f t="shared" si="12"/>
        <v>WO</v>
      </c>
      <c r="X19" s="15"/>
      <c r="Y19" s="15"/>
      <c r="Z19" s="15"/>
      <c r="AA19" s="15"/>
      <c r="AB19" s="15"/>
      <c r="AC19" s="15"/>
      <c r="AD19" s="15" t="str">
        <f t="shared" si="11"/>
        <v>WO</v>
      </c>
      <c r="AE19" s="15"/>
      <c r="AF19" s="15"/>
      <c r="AG19" s="15"/>
      <c r="AH19" s="15"/>
      <c r="AI19" s="15"/>
      <c r="AJ19" s="15"/>
      <c r="AK19" s="15" t="str">
        <f t="shared" si="11"/>
        <v>WO</v>
      </c>
      <c r="AL19" s="15"/>
      <c r="AM19" s="15"/>
      <c r="AN19" s="15"/>
      <c r="AO19" s="16"/>
      <c r="AP19" s="40"/>
      <c r="AQ19" s="38"/>
      <c r="AR19" s="34">
        <v>11</v>
      </c>
      <c r="AS19" s="35" t="s">
        <v>42</v>
      </c>
      <c r="AT19" s="28" t="str">
        <f t="shared" si="4"/>
        <v>December</v>
      </c>
      <c r="AU19" s="29" t="str">
        <f t="shared" si="10"/>
        <v>Name 11</v>
      </c>
      <c r="AV19" s="30">
        <f t="shared" si="5"/>
        <v>0</v>
      </c>
      <c r="AW19" s="30">
        <f t="shared" si="6"/>
        <v>0</v>
      </c>
      <c r="AX19" s="30">
        <f t="shared" si="7"/>
        <v>0</v>
      </c>
      <c r="AY19" s="30">
        <f t="shared" si="8"/>
        <v>4</v>
      </c>
      <c r="AZ19" s="30">
        <f t="shared" si="9"/>
        <v>31</v>
      </c>
      <c r="BA19" s="30">
        <f>dec_repo[[#This Row],[Days]]-dec_repo[[#This Row],[Absent]]</f>
        <v>31</v>
      </c>
      <c r="BB19" s="31">
        <v>0</v>
      </c>
      <c r="BC19" s="32">
        <f>dec_repo[[#This Row],[Salary]]/dec_repo[[#This Row],[Days]]</f>
        <v>0</v>
      </c>
      <c r="BD19" s="30">
        <f>dec_repo[[#This Row],[Per Day Salary]]*dec_repo[[#This Row],[Absent]]</f>
        <v>0</v>
      </c>
      <c r="BE19" s="30">
        <f>dec_repo[[#This Row],[Salary]]-dec_repo[[#This Row],[Deduction]]</f>
        <v>0</v>
      </c>
      <c r="BF19" s="33"/>
      <c r="BG19" s="38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4:71" ht="13.8" x14ac:dyDescent="0.3">
      <c r="D20" s="23"/>
      <c r="E20" s="23"/>
      <c r="F20" s="40"/>
      <c r="G20" s="11">
        <v>12</v>
      </c>
      <c r="H20" s="12" t="s">
        <v>43</v>
      </c>
      <c r="I20" s="13" t="s">
        <v>13</v>
      </c>
      <c r="J20" s="14">
        <f>COUNTIF($K$7:K18:$AO$7,"Sun")</f>
        <v>4</v>
      </c>
      <c r="K20" s="15"/>
      <c r="L20" s="15"/>
      <c r="M20" s="15"/>
      <c r="N20" s="15"/>
      <c r="O20" s="15"/>
      <c r="P20" s="15" t="str">
        <f t="shared" si="12"/>
        <v>WO</v>
      </c>
      <c r="Q20" s="15"/>
      <c r="R20" s="15"/>
      <c r="S20" s="15"/>
      <c r="T20" s="15"/>
      <c r="U20" s="15"/>
      <c r="V20" s="15"/>
      <c r="W20" s="15" t="str">
        <f t="shared" si="12"/>
        <v>WO</v>
      </c>
      <c r="X20" s="15"/>
      <c r="Y20" s="15"/>
      <c r="Z20" s="15"/>
      <c r="AA20" s="15"/>
      <c r="AB20" s="15"/>
      <c r="AC20" s="15"/>
      <c r="AD20" s="15" t="str">
        <f t="shared" si="11"/>
        <v>WO</v>
      </c>
      <c r="AE20" s="15"/>
      <c r="AF20" s="15"/>
      <c r="AG20" s="15"/>
      <c r="AH20" s="15"/>
      <c r="AI20" s="15"/>
      <c r="AJ20" s="15"/>
      <c r="AK20" s="15" t="str">
        <f t="shared" si="11"/>
        <v>WO</v>
      </c>
      <c r="AL20" s="15"/>
      <c r="AM20" s="15"/>
      <c r="AN20" s="15"/>
      <c r="AO20" s="16"/>
      <c r="AP20" s="40"/>
      <c r="AQ20" s="38"/>
      <c r="AR20" s="34">
        <v>12</v>
      </c>
      <c r="AS20" s="35" t="s">
        <v>43</v>
      </c>
      <c r="AT20" s="28" t="str">
        <f t="shared" si="4"/>
        <v>December</v>
      </c>
      <c r="AU20" s="29" t="str">
        <f t="shared" si="10"/>
        <v>Name 12</v>
      </c>
      <c r="AV20" s="30">
        <f t="shared" si="5"/>
        <v>0</v>
      </c>
      <c r="AW20" s="30">
        <f t="shared" si="6"/>
        <v>0</v>
      </c>
      <c r="AX20" s="30">
        <f t="shared" si="7"/>
        <v>0</v>
      </c>
      <c r="AY20" s="30">
        <f t="shared" si="8"/>
        <v>4</v>
      </c>
      <c r="AZ20" s="30">
        <f t="shared" si="9"/>
        <v>31</v>
      </c>
      <c r="BA20" s="30">
        <f>dec_repo[[#This Row],[Days]]-dec_repo[[#This Row],[Absent]]</f>
        <v>31</v>
      </c>
      <c r="BB20" s="31">
        <v>0</v>
      </c>
      <c r="BC20" s="32">
        <f>dec_repo[[#This Row],[Salary]]/dec_repo[[#This Row],[Days]]</f>
        <v>0</v>
      </c>
      <c r="BD20" s="30">
        <f>dec_repo[[#This Row],[Per Day Salary]]*dec_repo[[#This Row],[Absent]]</f>
        <v>0</v>
      </c>
      <c r="BE20" s="30">
        <f>dec_repo[[#This Row],[Salary]]-dec_repo[[#This Row],[Deduction]]</f>
        <v>0</v>
      </c>
      <c r="BF20" s="33"/>
      <c r="BG20" s="38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4:71" ht="13.8" x14ac:dyDescent="0.3">
      <c r="D21" s="23"/>
      <c r="E21" s="23"/>
      <c r="F21" s="40"/>
      <c r="G21" s="11">
        <v>13</v>
      </c>
      <c r="H21" s="12" t="s">
        <v>44</v>
      </c>
      <c r="I21" s="13" t="s">
        <v>14</v>
      </c>
      <c r="J21" s="14">
        <f>COUNTIF($K$7:K19:$AO$7,"Sun")</f>
        <v>4</v>
      </c>
      <c r="K21" s="15"/>
      <c r="L21" s="15"/>
      <c r="M21" s="15"/>
      <c r="N21" s="15"/>
      <c r="O21" s="15"/>
      <c r="P21" s="15" t="str">
        <f t="shared" si="12"/>
        <v>WO</v>
      </c>
      <c r="Q21" s="15"/>
      <c r="R21" s="15"/>
      <c r="S21" s="15"/>
      <c r="T21" s="15"/>
      <c r="U21" s="15"/>
      <c r="V21" s="15"/>
      <c r="W21" s="15" t="str">
        <f t="shared" si="12"/>
        <v>WO</v>
      </c>
      <c r="X21" s="15"/>
      <c r="Y21" s="15"/>
      <c r="Z21" s="15"/>
      <c r="AA21" s="15"/>
      <c r="AB21" s="15"/>
      <c r="AC21" s="15"/>
      <c r="AD21" s="15" t="str">
        <f t="shared" si="11"/>
        <v>WO</v>
      </c>
      <c r="AE21" s="15"/>
      <c r="AF21" s="15"/>
      <c r="AG21" s="15"/>
      <c r="AH21" s="15"/>
      <c r="AI21" s="15"/>
      <c r="AJ21" s="15"/>
      <c r="AK21" s="15" t="str">
        <f t="shared" si="11"/>
        <v>WO</v>
      </c>
      <c r="AL21" s="15"/>
      <c r="AM21" s="15"/>
      <c r="AN21" s="15"/>
      <c r="AO21" s="16"/>
      <c r="AP21" s="40"/>
      <c r="AQ21" s="38"/>
      <c r="AR21" s="34">
        <v>13</v>
      </c>
      <c r="AS21" s="35" t="s">
        <v>44</v>
      </c>
      <c r="AT21" s="28" t="str">
        <f t="shared" si="4"/>
        <v>December</v>
      </c>
      <c r="AU21" s="29" t="str">
        <f t="shared" si="10"/>
        <v>Name 13</v>
      </c>
      <c r="AV21" s="30">
        <f t="shared" si="5"/>
        <v>0</v>
      </c>
      <c r="AW21" s="30">
        <f t="shared" si="6"/>
        <v>0</v>
      </c>
      <c r="AX21" s="30">
        <f t="shared" si="7"/>
        <v>0</v>
      </c>
      <c r="AY21" s="30">
        <f t="shared" si="8"/>
        <v>4</v>
      </c>
      <c r="AZ21" s="30">
        <f t="shared" si="9"/>
        <v>31</v>
      </c>
      <c r="BA21" s="30">
        <f>dec_repo[[#This Row],[Days]]-dec_repo[[#This Row],[Absent]]</f>
        <v>31</v>
      </c>
      <c r="BB21" s="31">
        <v>0</v>
      </c>
      <c r="BC21" s="32">
        <f>dec_repo[[#This Row],[Salary]]/dec_repo[[#This Row],[Days]]</f>
        <v>0</v>
      </c>
      <c r="BD21" s="30">
        <f>dec_repo[[#This Row],[Per Day Salary]]*dec_repo[[#This Row],[Absent]]</f>
        <v>0</v>
      </c>
      <c r="BE21" s="30">
        <f>dec_repo[[#This Row],[Salary]]-dec_repo[[#This Row],[Deduction]]</f>
        <v>0</v>
      </c>
      <c r="BF21" s="33"/>
      <c r="BG21" s="38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4:71" ht="13.8" x14ac:dyDescent="0.3">
      <c r="D22" s="23"/>
      <c r="E22" s="23"/>
      <c r="F22" s="40"/>
      <c r="G22" s="11">
        <v>14</v>
      </c>
      <c r="H22" s="12" t="s">
        <v>45</v>
      </c>
      <c r="I22" s="13" t="s">
        <v>15</v>
      </c>
      <c r="J22" s="14">
        <f>COUNTIF($K$7:K20:$AO$7,"Sun")</f>
        <v>4</v>
      </c>
      <c r="K22" s="15"/>
      <c r="L22" s="15"/>
      <c r="M22" s="15"/>
      <c r="N22" s="15"/>
      <c r="O22" s="15"/>
      <c r="P22" s="15" t="str">
        <f t="shared" si="12"/>
        <v>WO</v>
      </c>
      <c r="Q22" s="15"/>
      <c r="R22" s="15"/>
      <c r="S22" s="15"/>
      <c r="T22" s="15"/>
      <c r="U22" s="15"/>
      <c r="V22" s="15"/>
      <c r="W22" s="15" t="str">
        <f t="shared" si="12"/>
        <v>WO</v>
      </c>
      <c r="X22" s="15"/>
      <c r="Y22" s="15"/>
      <c r="Z22" s="15"/>
      <c r="AA22" s="15"/>
      <c r="AB22" s="15"/>
      <c r="AC22" s="15"/>
      <c r="AD22" s="15" t="str">
        <f t="shared" si="11"/>
        <v>WO</v>
      </c>
      <c r="AE22" s="15"/>
      <c r="AF22" s="15"/>
      <c r="AG22" s="15"/>
      <c r="AH22" s="15"/>
      <c r="AI22" s="15"/>
      <c r="AJ22" s="15"/>
      <c r="AK22" s="15" t="str">
        <f t="shared" si="11"/>
        <v>WO</v>
      </c>
      <c r="AL22" s="15"/>
      <c r="AM22" s="15"/>
      <c r="AN22" s="15"/>
      <c r="AO22" s="16"/>
      <c r="AP22" s="40"/>
      <c r="AQ22" s="38"/>
      <c r="AR22" s="34">
        <v>14</v>
      </c>
      <c r="AS22" s="35" t="s">
        <v>45</v>
      </c>
      <c r="AT22" s="28" t="str">
        <f t="shared" si="4"/>
        <v>December</v>
      </c>
      <c r="AU22" s="29" t="str">
        <f t="shared" si="10"/>
        <v>Name 14</v>
      </c>
      <c r="AV22" s="30">
        <f t="shared" si="5"/>
        <v>0</v>
      </c>
      <c r="AW22" s="30">
        <f t="shared" si="6"/>
        <v>0</v>
      </c>
      <c r="AX22" s="30">
        <f t="shared" si="7"/>
        <v>0</v>
      </c>
      <c r="AY22" s="30">
        <f t="shared" si="8"/>
        <v>4</v>
      </c>
      <c r="AZ22" s="30">
        <f t="shared" si="9"/>
        <v>31</v>
      </c>
      <c r="BA22" s="30">
        <f>dec_repo[[#This Row],[Days]]-dec_repo[[#This Row],[Absent]]</f>
        <v>31</v>
      </c>
      <c r="BB22" s="31">
        <v>0</v>
      </c>
      <c r="BC22" s="32">
        <f>dec_repo[[#This Row],[Salary]]/dec_repo[[#This Row],[Days]]</f>
        <v>0</v>
      </c>
      <c r="BD22" s="30">
        <f>dec_repo[[#This Row],[Per Day Salary]]*dec_repo[[#This Row],[Absent]]</f>
        <v>0</v>
      </c>
      <c r="BE22" s="30">
        <f>dec_repo[[#This Row],[Salary]]-dec_repo[[#This Row],[Deduction]]</f>
        <v>0</v>
      </c>
      <c r="BF22" s="33"/>
      <c r="BG22" s="38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4:71" ht="13.8" x14ac:dyDescent="0.3">
      <c r="D23" s="23"/>
      <c r="E23" s="23"/>
      <c r="F23" s="40"/>
      <c r="G23" s="11">
        <v>15</v>
      </c>
      <c r="H23" s="12" t="s">
        <v>46</v>
      </c>
      <c r="I23" s="13" t="s">
        <v>16</v>
      </c>
      <c r="J23" s="14">
        <f>COUNTIF($K$7:K21:$AO$7,"Sun")</f>
        <v>4</v>
      </c>
      <c r="K23" s="15"/>
      <c r="L23" s="15"/>
      <c r="M23" s="15"/>
      <c r="N23" s="15"/>
      <c r="O23" s="15"/>
      <c r="P23" s="15" t="str">
        <f t="shared" si="12"/>
        <v>WO</v>
      </c>
      <c r="Q23" s="15"/>
      <c r="R23" s="15"/>
      <c r="S23" s="15"/>
      <c r="T23" s="15"/>
      <c r="U23" s="15"/>
      <c r="V23" s="15"/>
      <c r="W23" s="15" t="str">
        <f t="shared" si="12"/>
        <v>WO</v>
      </c>
      <c r="X23" s="15"/>
      <c r="Y23" s="15"/>
      <c r="Z23" s="15"/>
      <c r="AA23" s="15"/>
      <c r="AB23" s="15"/>
      <c r="AC23" s="15"/>
      <c r="AD23" s="15" t="str">
        <f t="shared" si="11"/>
        <v>WO</v>
      </c>
      <c r="AE23" s="15"/>
      <c r="AF23" s="15"/>
      <c r="AG23" s="15"/>
      <c r="AH23" s="15"/>
      <c r="AI23" s="15"/>
      <c r="AJ23" s="15"/>
      <c r="AK23" s="15" t="str">
        <f t="shared" si="11"/>
        <v>WO</v>
      </c>
      <c r="AL23" s="15"/>
      <c r="AM23" s="15"/>
      <c r="AN23" s="15"/>
      <c r="AO23" s="16"/>
      <c r="AP23" s="40"/>
      <c r="AQ23" s="38"/>
      <c r="AR23" s="34">
        <v>15</v>
      </c>
      <c r="AS23" s="35" t="s">
        <v>46</v>
      </c>
      <c r="AT23" s="28" t="str">
        <f t="shared" si="4"/>
        <v>December</v>
      </c>
      <c r="AU23" s="29" t="str">
        <f t="shared" si="10"/>
        <v>Name 15</v>
      </c>
      <c r="AV23" s="30">
        <f t="shared" si="5"/>
        <v>0</v>
      </c>
      <c r="AW23" s="30">
        <f t="shared" si="6"/>
        <v>0</v>
      </c>
      <c r="AX23" s="30">
        <f t="shared" si="7"/>
        <v>0</v>
      </c>
      <c r="AY23" s="30">
        <f t="shared" si="8"/>
        <v>4</v>
      </c>
      <c r="AZ23" s="30">
        <f t="shared" si="9"/>
        <v>31</v>
      </c>
      <c r="BA23" s="30">
        <f>dec_repo[[#This Row],[Days]]-dec_repo[[#This Row],[Absent]]</f>
        <v>31</v>
      </c>
      <c r="BB23" s="31">
        <v>0</v>
      </c>
      <c r="BC23" s="32">
        <f>dec_repo[[#This Row],[Salary]]/dec_repo[[#This Row],[Days]]</f>
        <v>0</v>
      </c>
      <c r="BD23" s="30">
        <f>dec_repo[[#This Row],[Per Day Salary]]*dec_repo[[#This Row],[Absent]]</f>
        <v>0</v>
      </c>
      <c r="BE23" s="30">
        <f>dec_repo[[#This Row],[Salary]]-dec_repo[[#This Row],[Deduction]]</f>
        <v>0</v>
      </c>
      <c r="BF23" s="33"/>
      <c r="BG23" s="38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4:71" ht="13.8" x14ac:dyDescent="0.3">
      <c r="D24" s="23"/>
      <c r="E24" s="23"/>
      <c r="F24" s="40"/>
      <c r="G24" s="11">
        <v>16</v>
      </c>
      <c r="H24" s="12" t="s">
        <v>47</v>
      </c>
      <c r="I24" s="13" t="s">
        <v>17</v>
      </c>
      <c r="J24" s="14">
        <f>COUNTIF($K$7:K22:$AO$7,"Sun")</f>
        <v>4</v>
      </c>
      <c r="K24" s="15"/>
      <c r="L24" s="15"/>
      <c r="M24" s="15"/>
      <c r="N24" s="15"/>
      <c r="O24" s="15"/>
      <c r="P24" s="15" t="str">
        <f t="shared" si="12"/>
        <v>WO</v>
      </c>
      <c r="Q24" s="15"/>
      <c r="R24" s="15"/>
      <c r="S24" s="15"/>
      <c r="T24" s="15"/>
      <c r="U24" s="15"/>
      <c r="V24" s="15"/>
      <c r="W24" s="15" t="str">
        <f t="shared" si="12"/>
        <v>WO</v>
      </c>
      <c r="X24" s="15"/>
      <c r="Y24" s="15"/>
      <c r="Z24" s="15"/>
      <c r="AA24" s="15"/>
      <c r="AB24" s="15"/>
      <c r="AC24" s="15"/>
      <c r="AD24" s="15" t="str">
        <f t="shared" si="11"/>
        <v>WO</v>
      </c>
      <c r="AE24" s="15"/>
      <c r="AF24" s="15"/>
      <c r="AG24" s="15"/>
      <c r="AH24" s="15"/>
      <c r="AI24" s="15"/>
      <c r="AJ24" s="15"/>
      <c r="AK24" s="15" t="str">
        <f t="shared" si="11"/>
        <v>WO</v>
      </c>
      <c r="AL24" s="15"/>
      <c r="AM24" s="15"/>
      <c r="AN24" s="15"/>
      <c r="AO24" s="16"/>
      <c r="AP24" s="40"/>
      <c r="AQ24" s="38"/>
      <c r="AR24" s="34">
        <v>16</v>
      </c>
      <c r="AS24" s="35" t="s">
        <v>47</v>
      </c>
      <c r="AT24" s="28" t="str">
        <f t="shared" si="4"/>
        <v>December</v>
      </c>
      <c r="AU24" s="29" t="str">
        <f t="shared" si="10"/>
        <v>Name 16</v>
      </c>
      <c r="AV24" s="30">
        <f t="shared" si="5"/>
        <v>0</v>
      </c>
      <c r="AW24" s="30">
        <f t="shared" si="6"/>
        <v>0</v>
      </c>
      <c r="AX24" s="30">
        <f t="shared" si="7"/>
        <v>0</v>
      </c>
      <c r="AY24" s="30">
        <f t="shared" si="8"/>
        <v>4</v>
      </c>
      <c r="AZ24" s="30">
        <f t="shared" si="9"/>
        <v>31</v>
      </c>
      <c r="BA24" s="30">
        <f>dec_repo[[#This Row],[Days]]-dec_repo[[#This Row],[Absent]]</f>
        <v>31</v>
      </c>
      <c r="BB24" s="31">
        <v>0</v>
      </c>
      <c r="BC24" s="32">
        <f>dec_repo[[#This Row],[Salary]]/dec_repo[[#This Row],[Days]]</f>
        <v>0</v>
      </c>
      <c r="BD24" s="30">
        <f>dec_repo[[#This Row],[Per Day Salary]]*dec_repo[[#This Row],[Absent]]</f>
        <v>0</v>
      </c>
      <c r="BE24" s="30">
        <f>dec_repo[[#This Row],[Salary]]-dec_repo[[#This Row],[Deduction]]</f>
        <v>0</v>
      </c>
      <c r="BF24" s="33"/>
      <c r="BG24" s="38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4:71" ht="13.8" x14ac:dyDescent="0.3">
      <c r="D25" s="23"/>
      <c r="E25" s="23"/>
      <c r="F25" s="40"/>
      <c r="G25" s="11">
        <v>17</v>
      </c>
      <c r="H25" s="12" t="s">
        <v>48</v>
      </c>
      <c r="I25" s="13" t="s">
        <v>18</v>
      </c>
      <c r="J25" s="14">
        <f>COUNTIF($K$7:K23:$AO$7,"Sun")</f>
        <v>4</v>
      </c>
      <c r="K25" s="15"/>
      <c r="L25" s="15"/>
      <c r="M25" s="15"/>
      <c r="N25" s="15"/>
      <c r="O25" s="15"/>
      <c r="P25" s="15" t="str">
        <f t="shared" si="12"/>
        <v>WO</v>
      </c>
      <c r="Q25" s="15"/>
      <c r="R25" s="15"/>
      <c r="S25" s="15"/>
      <c r="T25" s="15"/>
      <c r="U25" s="15"/>
      <c r="V25" s="15"/>
      <c r="W25" s="15" t="str">
        <f t="shared" si="12"/>
        <v>WO</v>
      </c>
      <c r="X25" s="15"/>
      <c r="Y25" s="15"/>
      <c r="Z25" s="15"/>
      <c r="AA25" s="15"/>
      <c r="AB25" s="15"/>
      <c r="AC25" s="15"/>
      <c r="AD25" s="15" t="str">
        <f t="shared" si="11"/>
        <v>WO</v>
      </c>
      <c r="AE25" s="15"/>
      <c r="AF25" s="15"/>
      <c r="AG25" s="15"/>
      <c r="AH25" s="15"/>
      <c r="AI25" s="15"/>
      <c r="AJ25" s="15"/>
      <c r="AK25" s="15" t="str">
        <f t="shared" si="11"/>
        <v>WO</v>
      </c>
      <c r="AL25" s="15"/>
      <c r="AM25" s="15"/>
      <c r="AN25" s="15"/>
      <c r="AO25" s="16"/>
      <c r="AP25" s="40"/>
      <c r="AQ25" s="38"/>
      <c r="AR25" s="34">
        <v>17</v>
      </c>
      <c r="AS25" s="35" t="s">
        <v>48</v>
      </c>
      <c r="AT25" s="28" t="str">
        <f t="shared" si="4"/>
        <v>December</v>
      </c>
      <c r="AU25" s="29" t="str">
        <f t="shared" si="10"/>
        <v>Name 17</v>
      </c>
      <c r="AV25" s="30">
        <f t="shared" si="5"/>
        <v>0</v>
      </c>
      <c r="AW25" s="30">
        <f t="shared" si="6"/>
        <v>0</v>
      </c>
      <c r="AX25" s="30">
        <f t="shared" si="7"/>
        <v>0</v>
      </c>
      <c r="AY25" s="30">
        <f t="shared" si="8"/>
        <v>4</v>
      </c>
      <c r="AZ25" s="30">
        <f t="shared" si="9"/>
        <v>31</v>
      </c>
      <c r="BA25" s="30">
        <f>dec_repo[[#This Row],[Days]]-dec_repo[[#This Row],[Absent]]</f>
        <v>31</v>
      </c>
      <c r="BB25" s="31">
        <v>0</v>
      </c>
      <c r="BC25" s="32">
        <f>dec_repo[[#This Row],[Salary]]/dec_repo[[#This Row],[Days]]</f>
        <v>0</v>
      </c>
      <c r="BD25" s="30">
        <f>dec_repo[[#This Row],[Per Day Salary]]*dec_repo[[#This Row],[Absent]]</f>
        <v>0</v>
      </c>
      <c r="BE25" s="30">
        <f>dec_repo[[#This Row],[Salary]]-dec_repo[[#This Row],[Deduction]]</f>
        <v>0</v>
      </c>
      <c r="BF25" s="33"/>
      <c r="BG25" s="38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4:71" ht="13.8" x14ac:dyDescent="0.3">
      <c r="D26" s="23"/>
      <c r="E26" s="23"/>
      <c r="F26" s="40"/>
      <c r="G26" s="11">
        <v>18</v>
      </c>
      <c r="H26" s="12" t="s">
        <v>49</v>
      </c>
      <c r="I26" s="13" t="s">
        <v>19</v>
      </c>
      <c r="J26" s="14">
        <f>COUNTIF($K$7:K24:$AO$7,"Sun")</f>
        <v>4</v>
      </c>
      <c r="K26" s="15"/>
      <c r="L26" s="15"/>
      <c r="M26" s="15"/>
      <c r="N26" s="15"/>
      <c r="O26" s="15"/>
      <c r="P26" s="15" t="str">
        <f t="shared" si="12"/>
        <v>WO</v>
      </c>
      <c r="Q26" s="15"/>
      <c r="R26" s="15"/>
      <c r="S26" s="15"/>
      <c r="T26" s="15"/>
      <c r="U26" s="15"/>
      <c r="V26" s="15"/>
      <c r="W26" s="15" t="str">
        <f t="shared" si="12"/>
        <v>WO</v>
      </c>
      <c r="X26" s="15"/>
      <c r="Y26" s="15"/>
      <c r="Z26" s="15"/>
      <c r="AA26" s="15"/>
      <c r="AB26" s="15"/>
      <c r="AC26" s="15"/>
      <c r="AD26" s="15" t="str">
        <f t="shared" si="11"/>
        <v>WO</v>
      </c>
      <c r="AE26" s="15"/>
      <c r="AF26" s="15"/>
      <c r="AG26" s="15"/>
      <c r="AH26" s="15"/>
      <c r="AI26" s="15"/>
      <c r="AJ26" s="15"/>
      <c r="AK26" s="15" t="str">
        <f t="shared" si="11"/>
        <v>WO</v>
      </c>
      <c r="AL26" s="15"/>
      <c r="AM26" s="15"/>
      <c r="AN26" s="15"/>
      <c r="AO26" s="16"/>
      <c r="AP26" s="40"/>
      <c r="AQ26" s="38"/>
      <c r="AR26" s="34">
        <v>18</v>
      </c>
      <c r="AS26" s="35" t="s">
        <v>49</v>
      </c>
      <c r="AT26" s="28" t="str">
        <f t="shared" si="4"/>
        <v>December</v>
      </c>
      <c r="AU26" s="29" t="str">
        <f t="shared" si="10"/>
        <v>Name 18</v>
      </c>
      <c r="AV26" s="30">
        <f t="shared" si="5"/>
        <v>0</v>
      </c>
      <c r="AW26" s="30">
        <f t="shared" si="6"/>
        <v>0</v>
      </c>
      <c r="AX26" s="30">
        <f t="shared" si="7"/>
        <v>0</v>
      </c>
      <c r="AY26" s="30">
        <f t="shared" si="8"/>
        <v>4</v>
      </c>
      <c r="AZ26" s="30">
        <f t="shared" si="9"/>
        <v>31</v>
      </c>
      <c r="BA26" s="30">
        <f>dec_repo[[#This Row],[Days]]-dec_repo[[#This Row],[Absent]]</f>
        <v>31</v>
      </c>
      <c r="BB26" s="31">
        <v>0</v>
      </c>
      <c r="BC26" s="32">
        <f>dec_repo[[#This Row],[Salary]]/dec_repo[[#This Row],[Days]]</f>
        <v>0</v>
      </c>
      <c r="BD26" s="30">
        <f>dec_repo[[#This Row],[Per Day Salary]]*dec_repo[[#This Row],[Absent]]</f>
        <v>0</v>
      </c>
      <c r="BE26" s="30">
        <f>dec_repo[[#This Row],[Salary]]-dec_repo[[#This Row],[Deduction]]</f>
        <v>0</v>
      </c>
      <c r="BF26" s="33"/>
      <c r="BG26" s="38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4:71" ht="13.8" x14ac:dyDescent="0.3">
      <c r="D27" s="23"/>
      <c r="E27" s="23"/>
      <c r="F27" s="40"/>
      <c r="G27" s="11">
        <v>19</v>
      </c>
      <c r="H27" s="12" t="s">
        <v>50</v>
      </c>
      <c r="I27" s="13" t="s">
        <v>20</v>
      </c>
      <c r="J27" s="14">
        <f>COUNTIF($K$7:K25:$AO$7,"Sun")</f>
        <v>4</v>
      </c>
      <c r="K27" s="15"/>
      <c r="L27" s="15"/>
      <c r="M27" s="15"/>
      <c r="N27" s="15"/>
      <c r="O27" s="15"/>
      <c r="P27" s="15" t="str">
        <f t="shared" si="12"/>
        <v>WO</v>
      </c>
      <c r="Q27" s="15"/>
      <c r="R27" s="15"/>
      <c r="S27" s="15"/>
      <c r="T27" s="15"/>
      <c r="U27" s="15"/>
      <c r="V27" s="15"/>
      <c r="W27" s="15" t="str">
        <f t="shared" si="12"/>
        <v>WO</v>
      </c>
      <c r="X27" s="15"/>
      <c r="Y27" s="15"/>
      <c r="Z27" s="15"/>
      <c r="AA27" s="15"/>
      <c r="AB27" s="15"/>
      <c r="AC27" s="15"/>
      <c r="AD27" s="15" t="str">
        <f t="shared" si="11"/>
        <v>WO</v>
      </c>
      <c r="AE27" s="15"/>
      <c r="AF27" s="15"/>
      <c r="AG27" s="15"/>
      <c r="AH27" s="15"/>
      <c r="AI27" s="15"/>
      <c r="AJ27" s="15"/>
      <c r="AK27" s="15" t="str">
        <f t="shared" si="11"/>
        <v>WO</v>
      </c>
      <c r="AL27" s="15"/>
      <c r="AM27" s="15"/>
      <c r="AN27" s="15"/>
      <c r="AO27" s="16"/>
      <c r="AP27" s="40"/>
      <c r="AQ27" s="38"/>
      <c r="AR27" s="34">
        <v>19</v>
      </c>
      <c r="AS27" s="35" t="s">
        <v>50</v>
      </c>
      <c r="AT27" s="28" t="str">
        <f t="shared" si="4"/>
        <v>December</v>
      </c>
      <c r="AU27" s="29" t="str">
        <f t="shared" si="10"/>
        <v>Name 19</v>
      </c>
      <c r="AV27" s="30">
        <f t="shared" si="5"/>
        <v>0</v>
      </c>
      <c r="AW27" s="30">
        <f t="shared" si="6"/>
        <v>0</v>
      </c>
      <c r="AX27" s="30">
        <f t="shared" si="7"/>
        <v>0</v>
      </c>
      <c r="AY27" s="30">
        <f t="shared" si="8"/>
        <v>4</v>
      </c>
      <c r="AZ27" s="30">
        <f t="shared" si="9"/>
        <v>31</v>
      </c>
      <c r="BA27" s="30">
        <f>dec_repo[[#This Row],[Days]]-dec_repo[[#This Row],[Absent]]</f>
        <v>31</v>
      </c>
      <c r="BB27" s="31">
        <v>0</v>
      </c>
      <c r="BC27" s="32">
        <f>dec_repo[[#This Row],[Salary]]/dec_repo[[#This Row],[Days]]</f>
        <v>0</v>
      </c>
      <c r="BD27" s="30">
        <f>dec_repo[[#This Row],[Per Day Salary]]*dec_repo[[#This Row],[Absent]]</f>
        <v>0</v>
      </c>
      <c r="BE27" s="30">
        <f>dec_repo[[#This Row],[Salary]]-dec_repo[[#This Row],[Deduction]]</f>
        <v>0</v>
      </c>
      <c r="BF27" s="33"/>
      <c r="BG27" s="38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4:71" ht="13.8" x14ac:dyDescent="0.3">
      <c r="D28" s="23"/>
      <c r="E28" s="23"/>
      <c r="F28" s="40"/>
      <c r="G28" s="11">
        <v>20</v>
      </c>
      <c r="H28" s="12" t="s">
        <v>51</v>
      </c>
      <c r="I28" s="13" t="s">
        <v>21</v>
      </c>
      <c r="J28" s="14">
        <f>COUNTIF($K$7:K26:$AO$7,"Sun")</f>
        <v>4</v>
      </c>
      <c r="K28" s="15"/>
      <c r="L28" s="15"/>
      <c r="M28" s="15"/>
      <c r="N28" s="15"/>
      <c r="O28" s="15"/>
      <c r="P28" s="15" t="str">
        <f t="shared" si="12"/>
        <v>WO</v>
      </c>
      <c r="Q28" s="15"/>
      <c r="R28" s="15"/>
      <c r="S28" s="15"/>
      <c r="T28" s="15"/>
      <c r="U28" s="15"/>
      <c r="V28" s="15"/>
      <c r="W28" s="15" t="str">
        <f t="shared" si="12"/>
        <v>WO</v>
      </c>
      <c r="X28" s="15"/>
      <c r="Y28" s="15"/>
      <c r="Z28" s="15"/>
      <c r="AA28" s="15"/>
      <c r="AB28" s="15"/>
      <c r="AC28" s="15"/>
      <c r="AD28" s="15" t="str">
        <f t="shared" si="11"/>
        <v>WO</v>
      </c>
      <c r="AE28" s="15"/>
      <c r="AF28" s="15"/>
      <c r="AG28" s="15"/>
      <c r="AH28" s="15"/>
      <c r="AI28" s="15"/>
      <c r="AJ28" s="15"/>
      <c r="AK28" s="15" t="str">
        <f t="shared" si="11"/>
        <v>WO</v>
      </c>
      <c r="AL28" s="15"/>
      <c r="AM28" s="15"/>
      <c r="AN28" s="15"/>
      <c r="AO28" s="16"/>
      <c r="AP28" s="40"/>
      <c r="AQ28" s="38"/>
      <c r="AR28" s="34">
        <v>20</v>
      </c>
      <c r="AS28" s="35" t="s">
        <v>51</v>
      </c>
      <c r="AT28" s="28" t="str">
        <f t="shared" si="4"/>
        <v>December</v>
      </c>
      <c r="AU28" s="29" t="str">
        <f t="shared" si="10"/>
        <v>Name 20</v>
      </c>
      <c r="AV28" s="30">
        <f t="shared" si="5"/>
        <v>0</v>
      </c>
      <c r="AW28" s="30">
        <f t="shared" si="6"/>
        <v>0</v>
      </c>
      <c r="AX28" s="30">
        <f t="shared" si="7"/>
        <v>0</v>
      </c>
      <c r="AY28" s="30">
        <f t="shared" si="8"/>
        <v>4</v>
      </c>
      <c r="AZ28" s="30">
        <f t="shared" si="9"/>
        <v>31</v>
      </c>
      <c r="BA28" s="30">
        <f>dec_repo[[#This Row],[Days]]-dec_repo[[#This Row],[Absent]]</f>
        <v>31</v>
      </c>
      <c r="BB28" s="31">
        <v>0</v>
      </c>
      <c r="BC28" s="32">
        <f>dec_repo[[#This Row],[Salary]]/dec_repo[[#This Row],[Days]]</f>
        <v>0</v>
      </c>
      <c r="BD28" s="30">
        <f>dec_repo[[#This Row],[Per Day Salary]]*dec_repo[[#This Row],[Absent]]</f>
        <v>0</v>
      </c>
      <c r="BE28" s="30">
        <f>dec_repo[[#This Row],[Salary]]-dec_repo[[#This Row],[Deduction]]</f>
        <v>0</v>
      </c>
      <c r="BF28" s="33"/>
      <c r="BG28" s="38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4:71" ht="13.8" x14ac:dyDescent="0.3">
      <c r="D29" s="23"/>
      <c r="E29" s="23"/>
      <c r="F29" s="40"/>
      <c r="G29" s="11">
        <v>21</v>
      </c>
      <c r="H29" s="12" t="s">
        <v>52</v>
      </c>
      <c r="I29" s="13" t="s">
        <v>22</v>
      </c>
      <c r="J29" s="14">
        <f>COUNTIF($K$7:K27:$AO$7,"Sun")</f>
        <v>4</v>
      </c>
      <c r="K29" s="15"/>
      <c r="L29" s="15"/>
      <c r="M29" s="15"/>
      <c r="N29" s="15"/>
      <c r="O29" s="15"/>
      <c r="P29" s="15" t="str">
        <f t="shared" si="12"/>
        <v>WO</v>
      </c>
      <c r="Q29" s="15"/>
      <c r="R29" s="15"/>
      <c r="S29" s="15"/>
      <c r="T29" s="15"/>
      <c r="U29" s="15"/>
      <c r="V29" s="15"/>
      <c r="W29" s="15" t="str">
        <f t="shared" si="12"/>
        <v>WO</v>
      </c>
      <c r="X29" s="15"/>
      <c r="Y29" s="15"/>
      <c r="Z29" s="15"/>
      <c r="AA29" s="15"/>
      <c r="AB29" s="15"/>
      <c r="AC29" s="15"/>
      <c r="AD29" s="15" t="str">
        <f t="shared" si="11"/>
        <v>WO</v>
      </c>
      <c r="AE29" s="15"/>
      <c r="AF29" s="15"/>
      <c r="AG29" s="15"/>
      <c r="AH29" s="15"/>
      <c r="AI29" s="15"/>
      <c r="AJ29" s="15"/>
      <c r="AK29" s="15" t="str">
        <f t="shared" si="11"/>
        <v>WO</v>
      </c>
      <c r="AL29" s="15"/>
      <c r="AM29" s="15"/>
      <c r="AN29" s="15"/>
      <c r="AO29" s="16"/>
      <c r="AP29" s="40"/>
      <c r="AQ29" s="38"/>
      <c r="AR29" s="34">
        <v>21</v>
      </c>
      <c r="AS29" s="35" t="s">
        <v>52</v>
      </c>
      <c r="AT29" s="28" t="str">
        <f t="shared" si="4"/>
        <v>December</v>
      </c>
      <c r="AU29" s="29" t="str">
        <f t="shared" si="10"/>
        <v>Name 21</v>
      </c>
      <c r="AV29" s="30">
        <f t="shared" si="5"/>
        <v>0</v>
      </c>
      <c r="AW29" s="30">
        <f t="shared" si="6"/>
        <v>0</v>
      </c>
      <c r="AX29" s="30">
        <f t="shared" si="7"/>
        <v>0</v>
      </c>
      <c r="AY29" s="30">
        <f t="shared" si="8"/>
        <v>4</v>
      </c>
      <c r="AZ29" s="30">
        <f t="shared" si="9"/>
        <v>31</v>
      </c>
      <c r="BA29" s="30">
        <f>dec_repo[[#This Row],[Days]]-dec_repo[[#This Row],[Absent]]</f>
        <v>31</v>
      </c>
      <c r="BB29" s="31">
        <v>0</v>
      </c>
      <c r="BC29" s="32">
        <f>dec_repo[[#This Row],[Salary]]/dec_repo[[#This Row],[Days]]</f>
        <v>0</v>
      </c>
      <c r="BD29" s="30">
        <f>dec_repo[[#This Row],[Per Day Salary]]*dec_repo[[#This Row],[Absent]]</f>
        <v>0</v>
      </c>
      <c r="BE29" s="30">
        <f>dec_repo[[#This Row],[Salary]]-dec_repo[[#This Row],[Deduction]]</f>
        <v>0</v>
      </c>
      <c r="BF29" s="33"/>
      <c r="BG29" s="38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4:71" ht="13.8" x14ac:dyDescent="0.3">
      <c r="D30" s="23"/>
      <c r="E30" s="23"/>
      <c r="F30" s="40"/>
      <c r="G30" s="11">
        <v>22</v>
      </c>
      <c r="H30" s="12" t="s">
        <v>53</v>
      </c>
      <c r="I30" s="13" t="s">
        <v>23</v>
      </c>
      <c r="J30" s="14">
        <f>COUNTIF($K$7:K28:$AO$7,"Sun")</f>
        <v>4</v>
      </c>
      <c r="K30" s="15"/>
      <c r="L30" s="15"/>
      <c r="M30" s="15"/>
      <c r="N30" s="15"/>
      <c r="O30" s="15"/>
      <c r="P30" s="15" t="str">
        <f t="shared" si="12"/>
        <v>WO</v>
      </c>
      <c r="Q30" s="15"/>
      <c r="R30" s="15"/>
      <c r="S30" s="15"/>
      <c r="T30" s="15"/>
      <c r="U30" s="15"/>
      <c r="V30" s="15"/>
      <c r="W30" s="15" t="str">
        <f t="shared" si="12"/>
        <v>WO</v>
      </c>
      <c r="X30" s="15"/>
      <c r="Y30" s="15"/>
      <c r="Z30" s="15"/>
      <c r="AA30" s="15"/>
      <c r="AB30" s="15"/>
      <c r="AC30" s="15"/>
      <c r="AD30" s="15" t="str">
        <f t="shared" si="11"/>
        <v>WO</v>
      </c>
      <c r="AE30" s="15"/>
      <c r="AF30" s="15"/>
      <c r="AG30" s="15"/>
      <c r="AH30" s="15"/>
      <c r="AI30" s="15"/>
      <c r="AJ30" s="15"/>
      <c r="AK30" s="15" t="str">
        <f t="shared" si="11"/>
        <v>WO</v>
      </c>
      <c r="AL30" s="15"/>
      <c r="AM30" s="15"/>
      <c r="AN30" s="15"/>
      <c r="AO30" s="16"/>
      <c r="AP30" s="40"/>
      <c r="AQ30" s="38"/>
      <c r="AR30" s="34">
        <v>22</v>
      </c>
      <c r="AS30" s="35" t="s">
        <v>53</v>
      </c>
      <c r="AT30" s="28" t="str">
        <f t="shared" si="4"/>
        <v>December</v>
      </c>
      <c r="AU30" s="29" t="str">
        <f t="shared" si="10"/>
        <v>Name 22</v>
      </c>
      <c r="AV30" s="30">
        <f t="shared" si="5"/>
        <v>0</v>
      </c>
      <c r="AW30" s="30">
        <f t="shared" si="6"/>
        <v>0</v>
      </c>
      <c r="AX30" s="30">
        <f t="shared" si="7"/>
        <v>0</v>
      </c>
      <c r="AY30" s="30">
        <f t="shared" si="8"/>
        <v>4</v>
      </c>
      <c r="AZ30" s="30">
        <f t="shared" si="9"/>
        <v>31</v>
      </c>
      <c r="BA30" s="30">
        <f>dec_repo[[#This Row],[Days]]-dec_repo[[#This Row],[Absent]]</f>
        <v>31</v>
      </c>
      <c r="BB30" s="31">
        <v>0</v>
      </c>
      <c r="BC30" s="32">
        <f>dec_repo[[#This Row],[Salary]]/dec_repo[[#This Row],[Days]]</f>
        <v>0</v>
      </c>
      <c r="BD30" s="30">
        <f>dec_repo[[#This Row],[Per Day Salary]]*dec_repo[[#This Row],[Absent]]</f>
        <v>0</v>
      </c>
      <c r="BE30" s="30">
        <f>dec_repo[[#This Row],[Salary]]-dec_repo[[#This Row],[Deduction]]</f>
        <v>0</v>
      </c>
      <c r="BF30" s="33"/>
      <c r="BG30" s="38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4:71" ht="13.8" x14ac:dyDescent="0.3">
      <c r="D31" s="23"/>
      <c r="E31" s="23"/>
      <c r="F31" s="40"/>
      <c r="G31" s="11">
        <v>23</v>
      </c>
      <c r="H31" s="12" t="s">
        <v>54</v>
      </c>
      <c r="I31" s="13" t="s">
        <v>24</v>
      </c>
      <c r="J31" s="14">
        <f>COUNTIF($K$7:K29:$AO$7,"Sun")</f>
        <v>4</v>
      </c>
      <c r="K31" s="15"/>
      <c r="L31" s="15"/>
      <c r="M31" s="15"/>
      <c r="N31" s="15"/>
      <c r="O31" s="15"/>
      <c r="P31" s="15" t="str">
        <f t="shared" si="12"/>
        <v>WO</v>
      </c>
      <c r="Q31" s="15"/>
      <c r="R31" s="15"/>
      <c r="S31" s="15"/>
      <c r="T31" s="15"/>
      <c r="U31" s="15"/>
      <c r="V31" s="15"/>
      <c r="W31" s="15" t="str">
        <f t="shared" si="12"/>
        <v>WO</v>
      </c>
      <c r="X31" s="15"/>
      <c r="Y31" s="15"/>
      <c r="Z31" s="15"/>
      <c r="AA31" s="15"/>
      <c r="AB31" s="15"/>
      <c r="AC31" s="15"/>
      <c r="AD31" s="15" t="str">
        <f t="shared" si="11"/>
        <v>WO</v>
      </c>
      <c r="AE31" s="15"/>
      <c r="AF31" s="15"/>
      <c r="AG31" s="15"/>
      <c r="AH31" s="15"/>
      <c r="AI31" s="15"/>
      <c r="AJ31" s="15"/>
      <c r="AK31" s="15" t="str">
        <f t="shared" si="11"/>
        <v>WO</v>
      </c>
      <c r="AL31" s="15"/>
      <c r="AM31" s="15"/>
      <c r="AN31" s="15"/>
      <c r="AO31" s="16"/>
      <c r="AP31" s="40"/>
      <c r="AQ31" s="38"/>
      <c r="AR31" s="34">
        <v>23</v>
      </c>
      <c r="AS31" s="35" t="s">
        <v>54</v>
      </c>
      <c r="AT31" s="28" t="str">
        <f t="shared" si="4"/>
        <v>December</v>
      </c>
      <c r="AU31" s="29" t="str">
        <f t="shared" si="10"/>
        <v>Name 23</v>
      </c>
      <c r="AV31" s="30">
        <f t="shared" si="5"/>
        <v>0</v>
      </c>
      <c r="AW31" s="30">
        <f t="shared" si="6"/>
        <v>0</v>
      </c>
      <c r="AX31" s="30">
        <f t="shared" si="7"/>
        <v>0</v>
      </c>
      <c r="AY31" s="30">
        <f t="shared" si="8"/>
        <v>4</v>
      </c>
      <c r="AZ31" s="30">
        <f t="shared" si="9"/>
        <v>31</v>
      </c>
      <c r="BA31" s="30">
        <f>dec_repo[[#This Row],[Days]]-dec_repo[[#This Row],[Absent]]</f>
        <v>31</v>
      </c>
      <c r="BB31" s="31">
        <v>0</v>
      </c>
      <c r="BC31" s="32">
        <f>dec_repo[[#This Row],[Salary]]/dec_repo[[#This Row],[Days]]</f>
        <v>0</v>
      </c>
      <c r="BD31" s="30">
        <f>dec_repo[[#This Row],[Per Day Salary]]*dec_repo[[#This Row],[Absent]]</f>
        <v>0</v>
      </c>
      <c r="BE31" s="30">
        <f>dec_repo[[#This Row],[Salary]]-dec_repo[[#This Row],[Deduction]]</f>
        <v>0</v>
      </c>
      <c r="BF31" s="33"/>
      <c r="BG31" s="38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4:71" ht="13.8" x14ac:dyDescent="0.3">
      <c r="D32" s="23"/>
      <c r="E32" s="23"/>
      <c r="F32" s="40"/>
      <c r="G32" s="11">
        <v>24</v>
      </c>
      <c r="H32" s="12" t="s">
        <v>55</v>
      </c>
      <c r="I32" s="13" t="s">
        <v>25</v>
      </c>
      <c r="J32" s="14">
        <f>COUNTIF($K$7:K30:$AO$7,"Sun")</f>
        <v>4</v>
      </c>
      <c r="K32" s="15"/>
      <c r="L32" s="15"/>
      <c r="M32" s="15"/>
      <c r="N32" s="15"/>
      <c r="O32" s="15"/>
      <c r="P32" s="15" t="str">
        <f t="shared" si="12"/>
        <v>WO</v>
      </c>
      <c r="Q32" s="15"/>
      <c r="R32" s="15"/>
      <c r="S32" s="15"/>
      <c r="T32" s="15"/>
      <c r="U32" s="15"/>
      <c r="V32" s="15"/>
      <c r="W32" s="15" t="str">
        <f t="shared" si="12"/>
        <v>WO</v>
      </c>
      <c r="X32" s="15"/>
      <c r="Y32" s="15"/>
      <c r="Z32" s="15"/>
      <c r="AA32" s="15"/>
      <c r="AB32" s="15"/>
      <c r="AC32" s="15"/>
      <c r="AD32" s="15" t="str">
        <f t="shared" si="11"/>
        <v>WO</v>
      </c>
      <c r="AE32" s="15"/>
      <c r="AF32" s="15"/>
      <c r="AG32" s="15"/>
      <c r="AH32" s="15"/>
      <c r="AI32" s="15"/>
      <c r="AJ32" s="15"/>
      <c r="AK32" s="15" t="str">
        <f t="shared" si="11"/>
        <v>WO</v>
      </c>
      <c r="AL32" s="15"/>
      <c r="AM32" s="15"/>
      <c r="AN32" s="15"/>
      <c r="AO32" s="16"/>
      <c r="AP32" s="40"/>
      <c r="AQ32" s="38"/>
      <c r="AR32" s="34">
        <v>24</v>
      </c>
      <c r="AS32" s="35" t="s">
        <v>55</v>
      </c>
      <c r="AT32" s="28" t="str">
        <f t="shared" si="4"/>
        <v>December</v>
      </c>
      <c r="AU32" s="29" t="str">
        <f t="shared" si="10"/>
        <v>Name 24</v>
      </c>
      <c r="AV32" s="30">
        <f t="shared" si="5"/>
        <v>0</v>
      </c>
      <c r="AW32" s="30">
        <f t="shared" si="6"/>
        <v>0</v>
      </c>
      <c r="AX32" s="30">
        <f t="shared" si="7"/>
        <v>0</v>
      </c>
      <c r="AY32" s="30">
        <f t="shared" si="8"/>
        <v>4</v>
      </c>
      <c r="AZ32" s="30">
        <f t="shared" si="9"/>
        <v>31</v>
      </c>
      <c r="BA32" s="30">
        <f>dec_repo[[#This Row],[Days]]-dec_repo[[#This Row],[Absent]]</f>
        <v>31</v>
      </c>
      <c r="BB32" s="31">
        <v>0</v>
      </c>
      <c r="BC32" s="32">
        <f>dec_repo[[#This Row],[Salary]]/dec_repo[[#This Row],[Days]]</f>
        <v>0</v>
      </c>
      <c r="BD32" s="30">
        <f>dec_repo[[#This Row],[Per Day Salary]]*dec_repo[[#This Row],[Absent]]</f>
        <v>0</v>
      </c>
      <c r="BE32" s="30">
        <f>dec_repo[[#This Row],[Salary]]-dec_repo[[#This Row],[Deduction]]</f>
        <v>0</v>
      </c>
      <c r="BF32" s="33"/>
      <c r="BG32" s="38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3.8" x14ac:dyDescent="0.3">
      <c r="D33" s="23"/>
      <c r="E33" s="23"/>
      <c r="F33" s="40"/>
      <c r="G33" s="11">
        <v>25</v>
      </c>
      <c r="H33" s="12" t="s">
        <v>56</v>
      </c>
      <c r="I33" s="13" t="s">
        <v>26</v>
      </c>
      <c r="J33" s="14">
        <f>COUNTIF($K$7:K31:$AO$7,"Sun")</f>
        <v>4</v>
      </c>
      <c r="K33" s="15"/>
      <c r="L33" s="15"/>
      <c r="M33" s="15"/>
      <c r="N33" s="15"/>
      <c r="O33" s="15"/>
      <c r="P33" s="15" t="str">
        <f t="shared" si="12"/>
        <v>WO</v>
      </c>
      <c r="Q33" s="15"/>
      <c r="R33" s="15"/>
      <c r="S33" s="15"/>
      <c r="T33" s="15"/>
      <c r="U33" s="15"/>
      <c r="V33" s="15"/>
      <c r="W33" s="15" t="str">
        <f t="shared" ref="W33:AD38" si="13">IF(W$7="Sun","WO","")</f>
        <v>WO</v>
      </c>
      <c r="X33" s="15"/>
      <c r="Y33" s="15"/>
      <c r="Z33" s="15"/>
      <c r="AA33" s="15"/>
      <c r="AB33" s="15"/>
      <c r="AC33" s="15"/>
      <c r="AD33" s="15" t="str">
        <f t="shared" si="13"/>
        <v>WO</v>
      </c>
      <c r="AE33" s="15"/>
      <c r="AF33" s="15"/>
      <c r="AG33" s="15"/>
      <c r="AH33" s="15"/>
      <c r="AI33" s="15"/>
      <c r="AJ33" s="15"/>
      <c r="AK33" s="15" t="str">
        <f t="shared" si="11"/>
        <v>WO</v>
      </c>
      <c r="AL33" s="15"/>
      <c r="AM33" s="15"/>
      <c r="AN33" s="15"/>
      <c r="AO33" s="16"/>
      <c r="AP33" s="40"/>
      <c r="AQ33" s="38"/>
      <c r="AR33" s="34">
        <v>25</v>
      </c>
      <c r="AS33" s="35" t="s">
        <v>56</v>
      </c>
      <c r="AT33" s="28" t="str">
        <f t="shared" si="4"/>
        <v>December</v>
      </c>
      <c r="AU33" s="29" t="str">
        <f t="shared" si="10"/>
        <v>Name 25</v>
      </c>
      <c r="AV33" s="30">
        <f t="shared" si="5"/>
        <v>0</v>
      </c>
      <c r="AW33" s="30">
        <f t="shared" si="6"/>
        <v>0</v>
      </c>
      <c r="AX33" s="30">
        <f t="shared" si="7"/>
        <v>0</v>
      </c>
      <c r="AY33" s="30">
        <f t="shared" si="8"/>
        <v>4</v>
      </c>
      <c r="AZ33" s="30">
        <f t="shared" si="9"/>
        <v>31</v>
      </c>
      <c r="BA33" s="30">
        <f>dec_repo[[#This Row],[Days]]-dec_repo[[#This Row],[Absent]]</f>
        <v>31</v>
      </c>
      <c r="BB33" s="31">
        <v>0</v>
      </c>
      <c r="BC33" s="32">
        <f>dec_repo[[#This Row],[Salary]]/dec_repo[[#This Row],[Days]]</f>
        <v>0</v>
      </c>
      <c r="BD33" s="30">
        <f>dec_repo[[#This Row],[Per Day Salary]]*dec_repo[[#This Row],[Absent]]</f>
        <v>0</v>
      </c>
      <c r="BE33" s="30">
        <f>dec_repo[[#This Row],[Salary]]-dec_repo[[#This Row],[Deduction]]</f>
        <v>0</v>
      </c>
      <c r="BF33" s="33"/>
      <c r="BG33" s="38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3.8" x14ac:dyDescent="0.3">
      <c r="D34" s="23"/>
      <c r="E34" s="23"/>
      <c r="F34" s="40"/>
      <c r="G34" s="11">
        <v>26</v>
      </c>
      <c r="H34" s="12" t="s">
        <v>57</v>
      </c>
      <c r="I34" s="13" t="s">
        <v>27</v>
      </c>
      <c r="J34" s="14">
        <f>COUNTIF($K$7:K32:$AO$7,"Sun")</f>
        <v>4</v>
      </c>
      <c r="K34" s="15"/>
      <c r="L34" s="15"/>
      <c r="M34" s="15"/>
      <c r="N34" s="15"/>
      <c r="O34" s="15"/>
      <c r="P34" s="15" t="str">
        <f t="shared" ref="P34:W38" si="14">IF(P$7="Sun","WO","")</f>
        <v>WO</v>
      </c>
      <c r="Q34" s="15"/>
      <c r="R34" s="15"/>
      <c r="S34" s="15"/>
      <c r="T34" s="15"/>
      <c r="U34" s="15"/>
      <c r="V34" s="15"/>
      <c r="W34" s="15" t="str">
        <f t="shared" si="14"/>
        <v>WO</v>
      </c>
      <c r="X34" s="15"/>
      <c r="Y34" s="15"/>
      <c r="Z34" s="15"/>
      <c r="AA34" s="15"/>
      <c r="AB34" s="15"/>
      <c r="AC34" s="15"/>
      <c r="AD34" s="15" t="str">
        <f t="shared" si="13"/>
        <v>WO</v>
      </c>
      <c r="AE34" s="15"/>
      <c r="AF34" s="15"/>
      <c r="AG34" s="15"/>
      <c r="AH34" s="15"/>
      <c r="AI34" s="15"/>
      <c r="AJ34" s="15"/>
      <c r="AK34" s="15" t="str">
        <f t="shared" si="11"/>
        <v>WO</v>
      </c>
      <c r="AL34" s="15"/>
      <c r="AM34" s="15"/>
      <c r="AN34" s="15"/>
      <c r="AO34" s="16"/>
      <c r="AP34" s="40"/>
      <c r="AQ34" s="38"/>
      <c r="AR34" s="34">
        <v>26</v>
      </c>
      <c r="AS34" s="35" t="s">
        <v>57</v>
      </c>
      <c r="AT34" s="28" t="str">
        <f t="shared" si="4"/>
        <v>December</v>
      </c>
      <c r="AU34" s="29" t="str">
        <f t="shared" si="10"/>
        <v>Name 26</v>
      </c>
      <c r="AV34" s="30">
        <f t="shared" si="5"/>
        <v>0</v>
      </c>
      <c r="AW34" s="30">
        <f t="shared" si="6"/>
        <v>0</v>
      </c>
      <c r="AX34" s="30">
        <f t="shared" si="7"/>
        <v>0</v>
      </c>
      <c r="AY34" s="30">
        <f t="shared" si="8"/>
        <v>4</v>
      </c>
      <c r="AZ34" s="30">
        <f t="shared" si="9"/>
        <v>31</v>
      </c>
      <c r="BA34" s="30">
        <f>dec_repo[[#This Row],[Days]]-dec_repo[[#This Row],[Absent]]</f>
        <v>31</v>
      </c>
      <c r="BB34" s="31">
        <v>0</v>
      </c>
      <c r="BC34" s="32">
        <f>dec_repo[[#This Row],[Salary]]/dec_repo[[#This Row],[Days]]</f>
        <v>0</v>
      </c>
      <c r="BD34" s="30">
        <f>dec_repo[[#This Row],[Per Day Salary]]*dec_repo[[#This Row],[Absent]]</f>
        <v>0</v>
      </c>
      <c r="BE34" s="30">
        <f>dec_repo[[#This Row],[Salary]]-dec_repo[[#This Row],[Deduction]]</f>
        <v>0</v>
      </c>
      <c r="BF34" s="33"/>
      <c r="BG34" s="38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</row>
    <row r="35" spans="1:71" ht="13.8" x14ac:dyDescent="0.3">
      <c r="D35" s="23"/>
      <c r="E35" s="23"/>
      <c r="F35" s="40"/>
      <c r="G35" s="11">
        <v>27</v>
      </c>
      <c r="H35" s="12" t="s">
        <v>58</v>
      </c>
      <c r="I35" s="13" t="s">
        <v>28</v>
      </c>
      <c r="J35" s="14">
        <f>COUNTIF($K$7:K33:$AO$7,"Sun")</f>
        <v>4</v>
      </c>
      <c r="K35" s="15"/>
      <c r="L35" s="15"/>
      <c r="M35" s="15"/>
      <c r="N35" s="15"/>
      <c r="O35" s="15"/>
      <c r="P35" s="15" t="str">
        <f t="shared" si="14"/>
        <v>WO</v>
      </c>
      <c r="Q35" s="15"/>
      <c r="R35" s="15"/>
      <c r="S35" s="15"/>
      <c r="T35" s="15"/>
      <c r="U35" s="15"/>
      <c r="V35" s="15"/>
      <c r="W35" s="15" t="str">
        <f t="shared" si="14"/>
        <v>WO</v>
      </c>
      <c r="X35" s="15"/>
      <c r="Y35" s="15"/>
      <c r="Z35" s="15"/>
      <c r="AA35" s="15"/>
      <c r="AB35" s="15"/>
      <c r="AC35" s="15"/>
      <c r="AD35" s="15" t="str">
        <f t="shared" si="13"/>
        <v>WO</v>
      </c>
      <c r="AE35" s="15"/>
      <c r="AF35" s="15"/>
      <c r="AG35" s="15"/>
      <c r="AH35" s="15"/>
      <c r="AI35" s="15"/>
      <c r="AJ35" s="15"/>
      <c r="AK35" s="15" t="str">
        <f t="shared" ref="AK35:AK38" si="15">IF(AK$7="Sun","WO","")</f>
        <v>WO</v>
      </c>
      <c r="AL35" s="15"/>
      <c r="AM35" s="15"/>
      <c r="AN35" s="15"/>
      <c r="AO35" s="16"/>
      <c r="AP35" s="40"/>
      <c r="AQ35" s="38"/>
      <c r="AR35" s="34">
        <v>27</v>
      </c>
      <c r="AS35" s="35" t="s">
        <v>58</v>
      </c>
      <c r="AT35" s="28" t="str">
        <f t="shared" si="4"/>
        <v>December</v>
      </c>
      <c r="AU35" s="29" t="str">
        <f t="shared" si="10"/>
        <v>Name 27</v>
      </c>
      <c r="AV35" s="30">
        <f t="shared" si="5"/>
        <v>0</v>
      </c>
      <c r="AW35" s="30">
        <f t="shared" si="6"/>
        <v>0</v>
      </c>
      <c r="AX35" s="30">
        <f t="shared" si="7"/>
        <v>0</v>
      </c>
      <c r="AY35" s="30">
        <f t="shared" si="8"/>
        <v>4</v>
      </c>
      <c r="AZ35" s="30">
        <f t="shared" si="9"/>
        <v>31</v>
      </c>
      <c r="BA35" s="30">
        <f>dec_repo[[#This Row],[Days]]-dec_repo[[#This Row],[Absent]]</f>
        <v>31</v>
      </c>
      <c r="BB35" s="31">
        <v>0</v>
      </c>
      <c r="BC35" s="32">
        <f>dec_repo[[#This Row],[Salary]]/dec_repo[[#This Row],[Days]]</f>
        <v>0</v>
      </c>
      <c r="BD35" s="30">
        <f>dec_repo[[#This Row],[Per Day Salary]]*dec_repo[[#This Row],[Absent]]</f>
        <v>0</v>
      </c>
      <c r="BE35" s="30">
        <f>dec_repo[[#This Row],[Salary]]-dec_repo[[#This Row],[Deduction]]</f>
        <v>0</v>
      </c>
      <c r="BF35" s="33"/>
      <c r="BG35" s="38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</row>
    <row r="36" spans="1:71" ht="13.8" x14ac:dyDescent="0.3">
      <c r="D36" s="23"/>
      <c r="E36" s="23"/>
      <c r="F36" s="40"/>
      <c r="G36" s="11">
        <v>28</v>
      </c>
      <c r="H36" s="12" t="s">
        <v>59</v>
      </c>
      <c r="I36" s="13" t="s">
        <v>29</v>
      </c>
      <c r="J36" s="14">
        <f>COUNTIF($K$7:K34:$AO$7,"Sun")</f>
        <v>4</v>
      </c>
      <c r="K36" s="15"/>
      <c r="L36" s="15"/>
      <c r="M36" s="15"/>
      <c r="N36" s="15"/>
      <c r="O36" s="15"/>
      <c r="P36" s="15" t="str">
        <f t="shared" si="14"/>
        <v>WO</v>
      </c>
      <c r="Q36" s="15"/>
      <c r="R36" s="15"/>
      <c r="S36" s="15"/>
      <c r="T36" s="15"/>
      <c r="U36" s="15"/>
      <c r="V36" s="15"/>
      <c r="W36" s="15" t="str">
        <f t="shared" si="14"/>
        <v>WO</v>
      </c>
      <c r="X36" s="15"/>
      <c r="Y36" s="15"/>
      <c r="Z36" s="15"/>
      <c r="AA36" s="15"/>
      <c r="AB36" s="15"/>
      <c r="AC36" s="15"/>
      <c r="AD36" s="15" t="str">
        <f t="shared" si="13"/>
        <v>WO</v>
      </c>
      <c r="AE36" s="15"/>
      <c r="AF36" s="15"/>
      <c r="AG36" s="15"/>
      <c r="AH36" s="15"/>
      <c r="AI36" s="15"/>
      <c r="AJ36" s="15"/>
      <c r="AK36" s="15" t="str">
        <f t="shared" si="15"/>
        <v>WO</v>
      </c>
      <c r="AL36" s="15"/>
      <c r="AM36" s="15"/>
      <c r="AN36" s="15"/>
      <c r="AO36" s="16"/>
      <c r="AP36" s="40"/>
      <c r="AQ36" s="38"/>
      <c r="AR36" s="34">
        <v>28</v>
      </c>
      <c r="AS36" s="35" t="s">
        <v>59</v>
      </c>
      <c r="AT36" s="28" t="str">
        <f t="shared" si="4"/>
        <v>December</v>
      </c>
      <c r="AU36" s="29" t="str">
        <f t="shared" si="10"/>
        <v>Name 28</v>
      </c>
      <c r="AV36" s="30">
        <f t="shared" si="5"/>
        <v>0</v>
      </c>
      <c r="AW36" s="30">
        <f t="shared" si="6"/>
        <v>0</v>
      </c>
      <c r="AX36" s="30">
        <f t="shared" si="7"/>
        <v>0</v>
      </c>
      <c r="AY36" s="30">
        <f t="shared" si="8"/>
        <v>4</v>
      </c>
      <c r="AZ36" s="30">
        <f t="shared" si="9"/>
        <v>31</v>
      </c>
      <c r="BA36" s="30">
        <f>dec_repo[[#This Row],[Days]]-dec_repo[[#This Row],[Absent]]</f>
        <v>31</v>
      </c>
      <c r="BB36" s="31">
        <v>0</v>
      </c>
      <c r="BC36" s="32">
        <f>dec_repo[[#This Row],[Salary]]/dec_repo[[#This Row],[Days]]</f>
        <v>0</v>
      </c>
      <c r="BD36" s="30">
        <f>dec_repo[[#This Row],[Per Day Salary]]*dec_repo[[#This Row],[Absent]]</f>
        <v>0</v>
      </c>
      <c r="BE36" s="30">
        <f>dec_repo[[#This Row],[Salary]]-dec_repo[[#This Row],[Deduction]]</f>
        <v>0</v>
      </c>
      <c r="BF36" s="33"/>
      <c r="BG36" s="38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</row>
    <row r="37" spans="1:71" ht="13.8" x14ac:dyDescent="0.3">
      <c r="D37" s="23"/>
      <c r="E37" s="23"/>
      <c r="F37" s="40"/>
      <c r="G37" s="11">
        <v>29</v>
      </c>
      <c r="H37" s="12" t="s">
        <v>60</v>
      </c>
      <c r="I37" s="13" t="s">
        <v>30</v>
      </c>
      <c r="J37" s="14">
        <f>COUNTIF($K$7:K35:$AO$7,"Sun")</f>
        <v>4</v>
      </c>
      <c r="K37" s="15"/>
      <c r="L37" s="15"/>
      <c r="M37" s="15"/>
      <c r="N37" s="15"/>
      <c r="O37" s="15"/>
      <c r="P37" s="15" t="str">
        <f t="shared" si="14"/>
        <v>WO</v>
      </c>
      <c r="Q37" s="15"/>
      <c r="R37" s="15"/>
      <c r="S37" s="15"/>
      <c r="T37" s="15"/>
      <c r="U37" s="15"/>
      <c r="V37" s="15"/>
      <c r="W37" s="15" t="str">
        <f t="shared" si="14"/>
        <v>WO</v>
      </c>
      <c r="X37" s="15"/>
      <c r="Y37" s="15"/>
      <c r="Z37" s="15"/>
      <c r="AA37" s="15"/>
      <c r="AB37" s="15"/>
      <c r="AC37" s="15"/>
      <c r="AD37" s="15" t="str">
        <f t="shared" si="13"/>
        <v>WO</v>
      </c>
      <c r="AE37" s="15"/>
      <c r="AF37" s="15"/>
      <c r="AG37" s="15"/>
      <c r="AH37" s="15"/>
      <c r="AI37" s="15"/>
      <c r="AJ37" s="15"/>
      <c r="AK37" s="15" t="str">
        <f t="shared" si="15"/>
        <v>WO</v>
      </c>
      <c r="AL37" s="15"/>
      <c r="AM37" s="15"/>
      <c r="AN37" s="15"/>
      <c r="AO37" s="16"/>
      <c r="AP37" s="40"/>
      <c r="AQ37" s="38"/>
      <c r="AR37" s="34">
        <v>29</v>
      </c>
      <c r="AS37" s="35" t="s">
        <v>60</v>
      </c>
      <c r="AT37" s="28" t="str">
        <f t="shared" si="4"/>
        <v>December</v>
      </c>
      <c r="AU37" s="29" t="str">
        <f t="shared" si="10"/>
        <v>Name 29</v>
      </c>
      <c r="AV37" s="30">
        <f t="shared" si="5"/>
        <v>0</v>
      </c>
      <c r="AW37" s="30">
        <f t="shared" si="6"/>
        <v>0</v>
      </c>
      <c r="AX37" s="30">
        <f t="shared" si="7"/>
        <v>0</v>
      </c>
      <c r="AY37" s="30">
        <f t="shared" si="8"/>
        <v>4</v>
      </c>
      <c r="AZ37" s="30">
        <f t="shared" si="9"/>
        <v>31</v>
      </c>
      <c r="BA37" s="30">
        <f>dec_repo[[#This Row],[Days]]-dec_repo[[#This Row],[Absent]]</f>
        <v>31</v>
      </c>
      <c r="BB37" s="31">
        <v>0</v>
      </c>
      <c r="BC37" s="32">
        <f>dec_repo[[#This Row],[Salary]]/dec_repo[[#This Row],[Days]]</f>
        <v>0</v>
      </c>
      <c r="BD37" s="30">
        <f>dec_repo[[#This Row],[Per Day Salary]]*dec_repo[[#This Row],[Absent]]</f>
        <v>0</v>
      </c>
      <c r="BE37" s="30">
        <f>dec_repo[[#This Row],[Salary]]-dec_repo[[#This Row],[Deduction]]</f>
        <v>0</v>
      </c>
      <c r="BF37" s="33"/>
      <c r="BG37" s="38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</row>
    <row r="38" spans="1:71" ht="14.4" thickBot="1" x14ac:dyDescent="0.35">
      <c r="D38" s="23"/>
      <c r="E38" s="23"/>
      <c r="F38" s="40"/>
      <c r="G38" s="17">
        <v>30</v>
      </c>
      <c r="H38" s="18" t="s">
        <v>61</v>
      </c>
      <c r="I38" s="19" t="s">
        <v>31</v>
      </c>
      <c r="J38" s="20">
        <f>COUNTIF($K$7:K36:$AO$7,"Sun")</f>
        <v>4</v>
      </c>
      <c r="K38" s="21"/>
      <c r="L38" s="21"/>
      <c r="M38" s="21"/>
      <c r="N38" s="21"/>
      <c r="O38" s="21"/>
      <c r="P38" s="21" t="str">
        <f t="shared" si="14"/>
        <v>WO</v>
      </c>
      <c r="Q38" s="21"/>
      <c r="R38" s="21"/>
      <c r="S38" s="21"/>
      <c r="T38" s="21"/>
      <c r="U38" s="21"/>
      <c r="V38" s="21"/>
      <c r="W38" s="21" t="str">
        <f t="shared" si="14"/>
        <v>WO</v>
      </c>
      <c r="X38" s="21"/>
      <c r="Y38" s="21"/>
      <c r="Z38" s="21"/>
      <c r="AA38" s="21"/>
      <c r="AB38" s="21"/>
      <c r="AC38" s="21"/>
      <c r="AD38" s="21" t="str">
        <f t="shared" si="13"/>
        <v>WO</v>
      </c>
      <c r="AE38" s="21"/>
      <c r="AF38" s="21"/>
      <c r="AG38" s="21"/>
      <c r="AH38" s="21"/>
      <c r="AI38" s="21"/>
      <c r="AJ38" s="21"/>
      <c r="AK38" s="21" t="str">
        <f t="shared" si="15"/>
        <v>WO</v>
      </c>
      <c r="AL38" s="21"/>
      <c r="AM38" s="21"/>
      <c r="AN38" s="21"/>
      <c r="AO38" s="22"/>
      <c r="AP38" s="40"/>
      <c r="AQ38" s="38"/>
      <c r="AR38" s="36">
        <v>30</v>
      </c>
      <c r="AS38" s="37" t="s">
        <v>61</v>
      </c>
      <c r="AT38" s="28" t="str">
        <f t="shared" si="4"/>
        <v>December</v>
      </c>
      <c r="AU38" s="29" t="str">
        <f t="shared" si="10"/>
        <v>Name 30</v>
      </c>
      <c r="AV38" s="30">
        <f t="shared" si="5"/>
        <v>0</v>
      </c>
      <c r="AW38" s="30">
        <f t="shared" si="6"/>
        <v>0</v>
      </c>
      <c r="AX38" s="30">
        <f t="shared" si="7"/>
        <v>0</v>
      </c>
      <c r="AY38" s="30">
        <f t="shared" si="8"/>
        <v>4</v>
      </c>
      <c r="AZ38" s="30">
        <f t="shared" si="9"/>
        <v>31</v>
      </c>
      <c r="BA38" s="30">
        <f>dec_repo[[#This Row],[Days]]-dec_repo[[#This Row],[Absent]]</f>
        <v>31</v>
      </c>
      <c r="BB38" s="31">
        <v>0</v>
      </c>
      <c r="BC38" s="32">
        <f>dec_repo[[#This Row],[Salary]]/dec_repo[[#This Row],[Days]]</f>
        <v>0</v>
      </c>
      <c r="BD38" s="30">
        <f>dec_repo[[#This Row],[Per Day Salary]]*dec_repo[[#This Row],[Absent]]</f>
        <v>0</v>
      </c>
      <c r="BE38" s="30">
        <f>dec_repo[[#This Row],[Salary]]-dec_repo[[#This Row],[Deduction]]</f>
        <v>0</v>
      </c>
      <c r="BF38" s="33"/>
      <c r="BG38" s="38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</row>
    <row r="39" spans="1:71" ht="10.8" thickTop="1" x14ac:dyDescent="0.3">
      <c r="A39" s="23"/>
      <c r="B39" s="23"/>
      <c r="C39" s="23"/>
      <c r="D39" s="23"/>
      <c r="E39" s="23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</row>
    <row r="40" spans="1:71" x14ac:dyDescent="0.3">
      <c r="A40" s="23"/>
      <c r="B40" s="23"/>
      <c r="C40" s="23"/>
      <c r="D40" s="23"/>
      <c r="E40" s="23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</row>
    <row r="41" spans="1:71" x14ac:dyDescent="0.3">
      <c r="A41" s="23"/>
      <c r="B41" s="23"/>
      <c r="C41" s="23"/>
      <c r="D41" s="23"/>
      <c r="E41" s="23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</row>
    <row r="42" spans="1:71" x14ac:dyDescent="0.3">
      <c r="A42" s="23"/>
      <c r="B42" s="23"/>
      <c r="C42" s="23"/>
      <c r="D42" s="23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</row>
    <row r="43" spans="1:71" x14ac:dyDescent="0.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</row>
    <row r="44" spans="1:71" x14ac:dyDescent="0.3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</row>
    <row r="45" spans="1:71" x14ac:dyDescent="0.3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</row>
    <row r="46" spans="1:71" x14ac:dyDescent="0.3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</row>
    <row r="47" spans="1:71" x14ac:dyDescent="0.3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</row>
    <row r="48" spans="1:71" x14ac:dyDescent="0.3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</row>
    <row r="49" spans="1:364" x14ac:dyDescent="0.3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</row>
    <row r="50" spans="1:364" x14ac:dyDescent="0.3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</row>
    <row r="52" spans="1:364" x14ac:dyDescent="0.3"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</row>
    <row r="53" spans="1:364" x14ac:dyDescent="0.3"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</row>
    <row r="54" spans="1:364" x14ac:dyDescent="0.3"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</row>
    <row r="55" spans="1:364" x14ac:dyDescent="0.3"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</row>
    <row r="56" spans="1:364" x14ac:dyDescent="0.3"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</row>
    <row r="57" spans="1:364" x14ac:dyDescent="0.3"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</row>
    <row r="58" spans="1:364" x14ac:dyDescent="0.3"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</row>
    <row r="59" spans="1:364" x14ac:dyDescent="0.3"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</row>
    <row r="60" spans="1:364" x14ac:dyDescent="0.3"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</row>
    <row r="61" spans="1:364" x14ac:dyDescent="0.3"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</row>
    <row r="62" spans="1:364" x14ac:dyDescent="0.3"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</row>
    <row r="63" spans="1:364" x14ac:dyDescent="0.3"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</row>
    <row r="64" spans="1:364" x14ac:dyDescent="0.3"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</row>
    <row r="65" spans="59:71" x14ac:dyDescent="0.3"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</row>
    <row r="66" spans="59:71" x14ac:dyDescent="0.3"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</row>
    <row r="67" spans="59:71" x14ac:dyDescent="0.3"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</row>
    <row r="68" spans="59:71" x14ac:dyDescent="0.3"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</row>
    <row r="69" spans="59:71" x14ac:dyDescent="0.3"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</row>
    <row r="70" spans="59:71" x14ac:dyDescent="0.3"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</row>
    <row r="71" spans="59:71" x14ac:dyDescent="0.3"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</row>
    <row r="72" spans="59:71" x14ac:dyDescent="0.3"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</row>
    <row r="73" spans="59:71" x14ac:dyDescent="0.3"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</row>
    <row r="74" spans="59:71" x14ac:dyDescent="0.3"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</row>
    <row r="75" spans="59:71" x14ac:dyDescent="0.3"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</row>
    <row r="76" spans="59:71" x14ac:dyDescent="0.3"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</row>
    <row r="77" spans="59:71" x14ac:dyDescent="0.3"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</row>
    <row r="78" spans="59:71" x14ac:dyDescent="0.3"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</row>
    <row r="79" spans="59:71" x14ac:dyDescent="0.3"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</row>
    <row r="80" spans="59:71" x14ac:dyDescent="0.3"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</row>
    <row r="81" spans="59:71" x14ac:dyDescent="0.3"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</row>
    <row r="82" spans="59:71" x14ac:dyDescent="0.3"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</row>
    <row r="83" spans="59:71" x14ac:dyDescent="0.3"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</row>
    <row r="84" spans="59:71" x14ac:dyDescent="0.3"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</row>
    <row r="85" spans="59:71" x14ac:dyDescent="0.3"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</row>
    <row r="86" spans="59:71" x14ac:dyDescent="0.3"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</row>
    <row r="87" spans="59:71" x14ac:dyDescent="0.3"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</row>
    <row r="88" spans="59:71" x14ac:dyDescent="0.3"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</row>
    <row r="89" spans="59:71" x14ac:dyDescent="0.3"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</row>
    <row r="90" spans="59:71" x14ac:dyDescent="0.3"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</row>
    <row r="91" spans="59:71" x14ac:dyDescent="0.3"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</row>
    <row r="92" spans="59:71" x14ac:dyDescent="0.3"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</row>
    <row r="93" spans="59:71" x14ac:dyDescent="0.3"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</row>
    <row r="94" spans="59:71" x14ac:dyDescent="0.3"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</row>
    <row r="95" spans="59:71" x14ac:dyDescent="0.3"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</row>
    <row r="96" spans="59:71" x14ac:dyDescent="0.3"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</row>
    <row r="97" spans="59:71" x14ac:dyDescent="0.3"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</row>
    <row r="98" spans="59:71" x14ac:dyDescent="0.3"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</row>
    <row r="99" spans="59:71" x14ac:dyDescent="0.3"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</row>
    <row r="100" spans="59:71" x14ac:dyDescent="0.3"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</row>
    <row r="101" spans="59:71" x14ac:dyDescent="0.3"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</row>
    <row r="102" spans="59:71" x14ac:dyDescent="0.3"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</row>
    <row r="103" spans="59:71" x14ac:dyDescent="0.3"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</row>
    <row r="104" spans="59:71" x14ac:dyDescent="0.3"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</row>
    <row r="105" spans="59:71" x14ac:dyDescent="0.3"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</row>
    <row r="106" spans="59:71" x14ac:dyDescent="0.3"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</row>
    <row r="107" spans="59:71" x14ac:dyDescent="0.3"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</row>
    <row r="108" spans="59:71" x14ac:dyDescent="0.3"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</row>
    <row r="109" spans="59:71" x14ac:dyDescent="0.3"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</row>
    <row r="110" spans="59:71" x14ac:dyDescent="0.3"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</row>
    <row r="111" spans="59:71" x14ac:dyDescent="0.3"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</row>
    <row r="112" spans="59:71" x14ac:dyDescent="0.3"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</row>
    <row r="113" spans="59:71" x14ac:dyDescent="0.3"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</row>
    <row r="114" spans="59:71" x14ac:dyDescent="0.3"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</row>
    <row r="115" spans="59:71" x14ac:dyDescent="0.3"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</row>
    <row r="116" spans="59:71" x14ac:dyDescent="0.3"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</row>
    <row r="117" spans="59:71" x14ac:dyDescent="0.3"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</row>
    <row r="118" spans="59:71" x14ac:dyDescent="0.3"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</row>
    <row r="119" spans="59:71" x14ac:dyDescent="0.3"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</row>
    <row r="120" spans="59:71" x14ac:dyDescent="0.3"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</row>
    <row r="121" spans="59:71" x14ac:dyDescent="0.3"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</row>
    <row r="122" spans="59:71" x14ac:dyDescent="0.3"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</row>
    <row r="123" spans="59:71" x14ac:dyDescent="0.3"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</row>
    <row r="124" spans="59:71" x14ac:dyDescent="0.3"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</row>
    <row r="125" spans="59:71" x14ac:dyDescent="0.3"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</row>
    <row r="126" spans="59:71" x14ac:dyDescent="0.3"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</row>
    <row r="127" spans="59:71" x14ac:dyDescent="0.3"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</row>
    <row r="128" spans="59:71" x14ac:dyDescent="0.3"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</row>
    <row r="129" spans="59:71" x14ac:dyDescent="0.3"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</row>
    <row r="130" spans="59:71" x14ac:dyDescent="0.3"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</row>
    <row r="131" spans="59:71" x14ac:dyDescent="0.3"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</row>
    <row r="132" spans="59:71" x14ac:dyDescent="0.3"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</row>
    <row r="133" spans="59:71" x14ac:dyDescent="0.3"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</row>
    <row r="134" spans="59:71" x14ac:dyDescent="0.3"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</row>
    <row r="135" spans="59:71" x14ac:dyDescent="0.3"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</row>
    <row r="136" spans="59:71" x14ac:dyDescent="0.3"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</row>
    <row r="137" spans="59:71" x14ac:dyDescent="0.3"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</row>
    <row r="138" spans="59:71" x14ac:dyDescent="0.3"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</row>
    <row r="139" spans="59:71" x14ac:dyDescent="0.3"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</row>
    <row r="140" spans="59:71" x14ac:dyDescent="0.3"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</row>
    <row r="141" spans="59:71" x14ac:dyDescent="0.3"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</row>
    <row r="142" spans="59:71" x14ac:dyDescent="0.3"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</row>
    <row r="143" spans="59:71" x14ac:dyDescent="0.3"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</row>
    <row r="144" spans="59:71" x14ac:dyDescent="0.3"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</row>
    <row r="145" spans="59:71" x14ac:dyDescent="0.3"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</row>
    <row r="146" spans="59:71" x14ac:dyDescent="0.3"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</row>
    <row r="147" spans="59:71" x14ac:dyDescent="0.3"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</row>
    <row r="148" spans="59:71" x14ac:dyDescent="0.3"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</row>
    <row r="149" spans="59:71" x14ac:dyDescent="0.3"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</row>
    <row r="150" spans="59:71" x14ac:dyDescent="0.3"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</row>
    <row r="151" spans="59:71" x14ac:dyDescent="0.3"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</row>
    <row r="152" spans="59:71" x14ac:dyDescent="0.3"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</row>
    <row r="153" spans="59:71" x14ac:dyDescent="0.3"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</row>
    <row r="154" spans="59:71" x14ac:dyDescent="0.3"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</row>
    <row r="155" spans="59:71" x14ac:dyDescent="0.3"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</row>
    <row r="156" spans="59:71" x14ac:dyDescent="0.3"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</row>
    <row r="157" spans="59:71" x14ac:dyDescent="0.3"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</row>
    <row r="158" spans="59:71" x14ac:dyDescent="0.3"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</row>
    <row r="159" spans="59:71" x14ac:dyDescent="0.3"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</row>
    <row r="160" spans="59:71" x14ac:dyDescent="0.3"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</row>
    <row r="161" spans="59:71" x14ac:dyDescent="0.3"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</row>
    <row r="162" spans="59:71" x14ac:dyDescent="0.3"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</row>
    <row r="163" spans="59:71" x14ac:dyDescent="0.3"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</row>
  </sheetData>
  <mergeCells count="3">
    <mergeCell ref="AQ1:BG3"/>
    <mergeCell ref="L5:Q5"/>
    <mergeCell ref="G7:I7"/>
  </mergeCells>
  <conditionalFormatting sqref="H5">
    <cfRule type="containsText" dxfId="30" priority="12" operator="containsText" text="WO">
      <formula>NOT(ISERROR(SEARCH("WO",H5)))</formula>
    </cfRule>
  </conditionalFormatting>
  <conditionalFormatting sqref="K9">
    <cfRule type="containsText" dxfId="29" priority="5" operator="containsText" text="L">
      <formula>NOT(ISERROR(SEARCH("L",K9)))</formula>
    </cfRule>
    <cfRule type="containsText" dxfId="28" priority="11" operator="containsText" text="WO">
      <formula>NOT(ISERROR(SEARCH("WO",K9)))</formula>
    </cfRule>
  </conditionalFormatting>
  <conditionalFormatting sqref="A4:XFD4 A5:L5 R5:XFD5 A6:XFD8 BH1:XFD3 A1:AQ1 A2:AP3 A39:XFD1048576 A13:AT38 BC9:XFD38 A9:H12 J9:BA9 J10:AT12 AU10:BA38">
    <cfRule type="containsText" dxfId="27" priority="9" operator="containsText" text="WO">
      <formula>NOT(ISERROR(SEARCH("WO",A1)))</formula>
    </cfRule>
    <cfRule type="containsText" dxfId="26" priority="10" operator="containsText" text="WO">
      <formula>NOT(ISERROR(SEARCH("WO",A1)))</formula>
    </cfRule>
  </conditionalFormatting>
  <conditionalFormatting sqref="K9:AO38">
    <cfRule type="containsText" dxfId="25" priority="6" operator="containsText" text="L">
      <formula>NOT(ISERROR(SEARCH("L",K9)))</formula>
    </cfRule>
    <cfRule type="containsText" dxfId="24" priority="7" operator="containsText" text="A">
      <formula>NOT(ISERROR(SEARCH("A",K9)))</formula>
    </cfRule>
    <cfRule type="containsText" dxfId="23" priority="8" operator="containsText" text="P">
      <formula>NOT(ISERROR(SEARCH("P",K9)))</formula>
    </cfRule>
  </conditionalFormatting>
  <conditionalFormatting sqref="BB9:BB38">
    <cfRule type="containsText" dxfId="22" priority="3" operator="containsText" text="WO">
      <formula>NOT(ISERROR(SEARCH("WO",BB9)))</formula>
    </cfRule>
    <cfRule type="containsText" dxfId="21" priority="4" operator="containsText" text="WO">
      <formula>NOT(ISERROR(SEARCH("WO",BB9)))</formula>
    </cfRule>
  </conditionalFormatting>
  <conditionalFormatting sqref="I9:I12">
    <cfRule type="containsText" dxfId="20" priority="1" operator="containsText" text="WO">
      <formula>NOT(ISERROR(SEARCH("WO",I9)))</formula>
    </cfRule>
    <cfRule type="containsText" dxfId="19" priority="2" operator="containsText" text="WO">
      <formula>NOT(ISERROR(SEARCH("WO",I9)))</formula>
    </cfRule>
  </conditionalFormatting>
  <dataValidations count="1">
    <dataValidation type="list" allowBlank="1" showInputMessage="1" showErrorMessage="1" sqref="K9:O38 Q9:V38 X9:AC38 AE9:AJ38 AL9:AO38" xr:uid="{00000000-0002-0000-0B00-000000000000}">
      <formula1>"P,A,L"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1000000}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 negative="1" xr2:uid="{00000000-0003-0000-0B00-00000B000000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DEC!AV9:AY9</xm:f>
              <xm:sqref>BF9</xm:sqref>
            </x14:sparkline>
            <x14:sparkline>
              <xm:f>DEC!AV10:AY10</xm:f>
              <xm:sqref>BF10</xm:sqref>
            </x14:sparkline>
            <x14:sparkline>
              <xm:f>DEC!AV11:AY11</xm:f>
              <xm:sqref>BF11</xm:sqref>
            </x14:sparkline>
            <x14:sparkline>
              <xm:f>DEC!AV12:AY12</xm:f>
              <xm:sqref>BF12</xm:sqref>
            </x14:sparkline>
            <x14:sparkline>
              <xm:f>DEC!AV13:AY13</xm:f>
              <xm:sqref>BF13</xm:sqref>
            </x14:sparkline>
            <x14:sparkline>
              <xm:f>DEC!AV14:AY14</xm:f>
              <xm:sqref>BF14</xm:sqref>
            </x14:sparkline>
            <x14:sparkline>
              <xm:f>DEC!AV15:AY15</xm:f>
              <xm:sqref>BF15</xm:sqref>
            </x14:sparkline>
            <x14:sparkline>
              <xm:f>DEC!AV16:AY16</xm:f>
              <xm:sqref>BF16</xm:sqref>
            </x14:sparkline>
            <x14:sparkline>
              <xm:f>DEC!AV17:AY17</xm:f>
              <xm:sqref>BF17</xm:sqref>
            </x14:sparkline>
            <x14:sparkline>
              <xm:f>DEC!AV18:AY18</xm:f>
              <xm:sqref>BF18</xm:sqref>
            </x14:sparkline>
            <x14:sparkline>
              <xm:f>DEC!AV19:AY19</xm:f>
              <xm:sqref>BF19</xm:sqref>
            </x14:sparkline>
            <x14:sparkline>
              <xm:f>DEC!AV20:AY20</xm:f>
              <xm:sqref>BF20</xm:sqref>
            </x14:sparkline>
            <x14:sparkline>
              <xm:f>DEC!AV21:AY21</xm:f>
              <xm:sqref>BF21</xm:sqref>
            </x14:sparkline>
            <x14:sparkline>
              <xm:f>DEC!AV22:AY22</xm:f>
              <xm:sqref>BF22</xm:sqref>
            </x14:sparkline>
            <x14:sparkline>
              <xm:f>DEC!AV23:AY23</xm:f>
              <xm:sqref>BF23</xm:sqref>
            </x14:sparkline>
            <x14:sparkline>
              <xm:f>DEC!AV24:AY24</xm:f>
              <xm:sqref>BF24</xm:sqref>
            </x14:sparkline>
            <x14:sparkline>
              <xm:f>DEC!AV25:AY25</xm:f>
              <xm:sqref>BF25</xm:sqref>
            </x14:sparkline>
            <x14:sparkline>
              <xm:f>DEC!AV26:AY26</xm:f>
              <xm:sqref>BF26</xm:sqref>
            </x14:sparkline>
            <x14:sparkline>
              <xm:f>DEC!AV27:AY27</xm:f>
              <xm:sqref>BF27</xm:sqref>
            </x14:sparkline>
            <x14:sparkline>
              <xm:f>DEC!AV28:AY28</xm:f>
              <xm:sqref>BF28</xm:sqref>
            </x14:sparkline>
            <x14:sparkline>
              <xm:f>DEC!AV29:AY29</xm:f>
              <xm:sqref>BF29</xm:sqref>
            </x14:sparkline>
            <x14:sparkline>
              <xm:f>DEC!AV30:AY30</xm:f>
              <xm:sqref>BF30</xm:sqref>
            </x14:sparkline>
            <x14:sparkline>
              <xm:f>DEC!AV31:AY31</xm:f>
              <xm:sqref>BF31</xm:sqref>
            </x14:sparkline>
            <x14:sparkline>
              <xm:f>DEC!AV32:AY32</xm:f>
              <xm:sqref>BF32</xm:sqref>
            </x14:sparkline>
            <x14:sparkline>
              <xm:f>DEC!AV33:AY33</xm:f>
              <xm:sqref>BF33</xm:sqref>
            </x14:sparkline>
            <x14:sparkline>
              <xm:f>DEC!AV34:AY34</xm:f>
              <xm:sqref>BF34</xm:sqref>
            </x14:sparkline>
            <x14:sparkline>
              <xm:f>DEC!AV35:AY35</xm:f>
              <xm:sqref>BF35</xm:sqref>
            </x14:sparkline>
            <x14:sparkline>
              <xm:f>DEC!AV36:AY36</xm:f>
              <xm:sqref>BF36</xm:sqref>
            </x14:sparkline>
            <x14:sparkline>
              <xm:f>DEC!AV37:AY37</xm:f>
              <xm:sqref>BF37</xm:sqref>
            </x14:sparkline>
            <x14:sparkline>
              <xm:f>DEC!AV38:AY38</xm:f>
              <xm:sqref>BF38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2"/>
  <sheetViews>
    <sheetView workbookViewId="0"/>
  </sheetViews>
  <sheetFormatPr defaultRowHeight="14.4" x14ac:dyDescent="0.3"/>
  <cols>
    <col min="1" max="1" width="10.33203125" bestFit="1" customWidth="1"/>
  </cols>
  <sheetData>
    <row r="1" spans="1:1" x14ac:dyDescent="0.3">
      <c r="A1" s="2">
        <v>46023</v>
      </c>
    </row>
    <row r="2" spans="1:1" x14ac:dyDescent="0.3">
      <c r="A2" s="2">
        <v>46054</v>
      </c>
    </row>
    <row r="3" spans="1:1" x14ac:dyDescent="0.3">
      <c r="A3" s="2">
        <v>46082</v>
      </c>
    </row>
    <row r="4" spans="1:1" x14ac:dyDescent="0.3">
      <c r="A4" s="2">
        <v>46113</v>
      </c>
    </row>
    <row r="5" spans="1:1" x14ac:dyDescent="0.3">
      <c r="A5" s="2">
        <v>46143</v>
      </c>
    </row>
    <row r="6" spans="1:1" x14ac:dyDescent="0.3">
      <c r="A6" s="2">
        <v>46174</v>
      </c>
    </row>
    <row r="7" spans="1:1" x14ac:dyDescent="0.3">
      <c r="A7" s="2">
        <v>46204</v>
      </c>
    </row>
    <row r="8" spans="1:1" x14ac:dyDescent="0.3">
      <c r="A8" s="2">
        <v>46235</v>
      </c>
    </row>
    <row r="9" spans="1:1" x14ac:dyDescent="0.3">
      <c r="A9" s="2">
        <v>46266</v>
      </c>
    </row>
    <row r="10" spans="1:1" x14ac:dyDescent="0.3">
      <c r="A10" s="2">
        <v>46296</v>
      </c>
    </row>
    <row r="11" spans="1:1" x14ac:dyDescent="0.3">
      <c r="A11" s="2">
        <v>46327</v>
      </c>
    </row>
    <row r="12" spans="1:1" x14ac:dyDescent="0.3">
      <c r="A12" s="2">
        <v>46357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B4" sqref="B4"/>
    </sheetView>
  </sheetViews>
  <sheetFormatPr defaultRowHeight="14.4" x14ac:dyDescent="0.3"/>
  <cols>
    <col min="1" max="1" width="5.21875" customWidth="1"/>
    <col min="2" max="2" width="17.33203125" customWidth="1"/>
    <col min="3" max="3" width="12.5546875" customWidth="1"/>
  </cols>
  <sheetData>
    <row r="1" spans="1:3" x14ac:dyDescent="0.3">
      <c r="A1" s="47" t="s">
        <v>0</v>
      </c>
      <c r="B1" s="47" t="s">
        <v>1</v>
      </c>
      <c r="C1" s="47" t="s">
        <v>2</v>
      </c>
    </row>
    <row r="2" spans="1:3" x14ac:dyDescent="0.3">
      <c r="A2" s="47"/>
      <c r="B2" s="47"/>
      <c r="C2" s="47"/>
    </row>
    <row r="3" spans="1:3" x14ac:dyDescent="0.3">
      <c r="A3" s="1">
        <v>1</v>
      </c>
      <c r="B3" s="1" t="s">
        <v>82</v>
      </c>
      <c r="C3" s="1" t="s">
        <v>32</v>
      </c>
    </row>
    <row r="4" spans="1:3" x14ac:dyDescent="0.3">
      <c r="A4" s="1">
        <v>2</v>
      </c>
      <c r="B4" s="1" t="s">
        <v>3</v>
      </c>
      <c r="C4" s="1" t="s">
        <v>33</v>
      </c>
    </row>
    <row r="5" spans="1:3" x14ac:dyDescent="0.3">
      <c r="A5" s="1">
        <v>3</v>
      </c>
      <c r="B5" s="1" t="s">
        <v>4</v>
      </c>
      <c r="C5" s="1" t="s">
        <v>34</v>
      </c>
    </row>
    <row r="6" spans="1:3" x14ac:dyDescent="0.3">
      <c r="A6" s="1">
        <v>4</v>
      </c>
      <c r="B6" s="1" t="s">
        <v>5</v>
      </c>
      <c r="C6" s="1" t="s">
        <v>35</v>
      </c>
    </row>
    <row r="7" spans="1:3" x14ac:dyDescent="0.3">
      <c r="A7" s="1">
        <v>5</v>
      </c>
      <c r="B7" s="1" t="s">
        <v>6</v>
      </c>
      <c r="C7" s="1" t="s">
        <v>36</v>
      </c>
    </row>
    <row r="8" spans="1:3" x14ac:dyDescent="0.3">
      <c r="A8" s="1">
        <v>6</v>
      </c>
      <c r="B8" s="1" t="s">
        <v>7</v>
      </c>
      <c r="C8" s="1" t="s">
        <v>37</v>
      </c>
    </row>
    <row r="9" spans="1:3" x14ac:dyDescent="0.3">
      <c r="A9" s="1">
        <v>7</v>
      </c>
      <c r="B9" s="1" t="s">
        <v>8</v>
      </c>
      <c r="C9" s="1" t="s">
        <v>38</v>
      </c>
    </row>
    <row r="10" spans="1:3" x14ac:dyDescent="0.3">
      <c r="A10" s="1">
        <v>8</v>
      </c>
      <c r="B10" s="1" t="s">
        <v>9</v>
      </c>
      <c r="C10" s="1" t="s">
        <v>39</v>
      </c>
    </row>
    <row r="11" spans="1:3" x14ac:dyDescent="0.3">
      <c r="A11" s="1">
        <v>9</v>
      </c>
      <c r="B11" s="1" t="s">
        <v>10</v>
      </c>
      <c r="C11" s="1" t="s">
        <v>40</v>
      </c>
    </row>
    <row r="12" spans="1:3" x14ac:dyDescent="0.3">
      <c r="A12" s="1">
        <v>10</v>
      </c>
      <c r="B12" s="1" t="s">
        <v>11</v>
      </c>
      <c r="C12" s="1" t="s">
        <v>41</v>
      </c>
    </row>
    <row r="13" spans="1:3" x14ac:dyDescent="0.3">
      <c r="A13" s="1">
        <v>11</v>
      </c>
      <c r="B13" s="1" t="s">
        <v>12</v>
      </c>
      <c r="C13" s="1" t="s">
        <v>42</v>
      </c>
    </row>
    <row r="14" spans="1:3" x14ac:dyDescent="0.3">
      <c r="A14" s="1">
        <v>12</v>
      </c>
      <c r="B14" s="1" t="s">
        <v>13</v>
      </c>
      <c r="C14" s="1" t="s">
        <v>43</v>
      </c>
    </row>
    <row r="15" spans="1:3" x14ac:dyDescent="0.3">
      <c r="A15" s="1">
        <v>13</v>
      </c>
      <c r="B15" s="1" t="s">
        <v>14</v>
      </c>
      <c r="C15" s="1" t="s">
        <v>44</v>
      </c>
    </row>
    <row r="16" spans="1:3" x14ac:dyDescent="0.3">
      <c r="A16" s="1">
        <v>14</v>
      </c>
      <c r="B16" s="1" t="s">
        <v>15</v>
      </c>
      <c r="C16" s="1" t="s">
        <v>45</v>
      </c>
    </row>
    <row r="17" spans="1:3" x14ac:dyDescent="0.3">
      <c r="A17" s="1">
        <v>15</v>
      </c>
      <c r="B17" s="1" t="s">
        <v>16</v>
      </c>
      <c r="C17" s="1" t="s">
        <v>46</v>
      </c>
    </row>
    <row r="18" spans="1:3" x14ac:dyDescent="0.3">
      <c r="A18" s="1">
        <v>16</v>
      </c>
      <c r="B18" s="1" t="s">
        <v>17</v>
      </c>
      <c r="C18" s="1" t="s">
        <v>47</v>
      </c>
    </row>
    <row r="19" spans="1:3" x14ac:dyDescent="0.3">
      <c r="A19" s="1">
        <v>17</v>
      </c>
      <c r="B19" s="1" t="s">
        <v>18</v>
      </c>
      <c r="C19" s="1" t="s">
        <v>48</v>
      </c>
    </row>
    <row r="20" spans="1:3" x14ac:dyDescent="0.3">
      <c r="A20" s="1">
        <v>18</v>
      </c>
      <c r="B20" s="1" t="s">
        <v>19</v>
      </c>
      <c r="C20" s="1" t="s">
        <v>49</v>
      </c>
    </row>
    <row r="21" spans="1:3" x14ac:dyDescent="0.3">
      <c r="A21" s="1">
        <v>19</v>
      </c>
      <c r="B21" s="1" t="s">
        <v>20</v>
      </c>
      <c r="C21" s="1" t="s">
        <v>50</v>
      </c>
    </row>
    <row r="22" spans="1:3" x14ac:dyDescent="0.3">
      <c r="A22" s="1">
        <v>20</v>
      </c>
      <c r="B22" s="1" t="s">
        <v>21</v>
      </c>
      <c r="C22" s="1" t="s">
        <v>51</v>
      </c>
    </row>
    <row r="23" spans="1:3" x14ac:dyDescent="0.3">
      <c r="A23" s="1">
        <v>21</v>
      </c>
      <c r="B23" s="1" t="s">
        <v>22</v>
      </c>
      <c r="C23" s="1" t="s">
        <v>52</v>
      </c>
    </row>
    <row r="24" spans="1:3" x14ac:dyDescent="0.3">
      <c r="A24" s="1">
        <v>22</v>
      </c>
      <c r="B24" s="1" t="s">
        <v>23</v>
      </c>
      <c r="C24" s="1" t="s">
        <v>53</v>
      </c>
    </row>
    <row r="25" spans="1:3" x14ac:dyDescent="0.3">
      <c r="A25" s="1">
        <v>23</v>
      </c>
      <c r="B25" s="1" t="s">
        <v>24</v>
      </c>
      <c r="C25" s="1" t="s">
        <v>54</v>
      </c>
    </row>
    <row r="26" spans="1:3" x14ac:dyDescent="0.3">
      <c r="A26" s="1">
        <v>24</v>
      </c>
      <c r="B26" s="1" t="s">
        <v>25</v>
      </c>
      <c r="C26" s="1" t="s">
        <v>55</v>
      </c>
    </row>
    <row r="27" spans="1:3" x14ac:dyDescent="0.3">
      <c r="A27" s="1">
        <v>25</v>
      </c>
      <c r="B27" s="1" t="s">
        <v>26</v>
      </c>
      <c r="C27" s="1" t="s">
        <v>56</v>
      </c>
    </row>
    <row r="28" spans="1:3" x14ac:dyDescent="0.3">
      <c r="A28" s="1">
        <v>26</v>
      </c>
      <c r="B28" s="1" t="s">
        <v>27</v>
      </c>
      <c r="C28" s="1" t="s">
        <v>57</v>
      </c>
    </row>
    <row r="29" spans="1:3" x14ac:dyDescent="0.3">
      <c r="A29" s="1">
        <v>27</v>
      </c>
      <c r="B29" s="1" t="s">
        <v>28</v>
      </c>
      <c r="C29" s="1" t="s">
        <v>58</v>
      </c>
    </row>
    <row r="30" spans="1:3" x14ac:dyDescent="0.3">
      <c r="A30" s="1">
        <v>28</v>
      </c>
      <c r="B30" s="1" t="s">
        <v>29</v>
      </c>
      <c r="C30" s="1" t="s">
        <v>59</v>
      </c>
    </row>
    <row r="31" spans="1:3" x14ac:dyDescent="0.3">
      <c r="A31" s="1">
        <v>29</v>
      </c>
      <c r="B31" s="1" t="s">
        <v>30</v>
      </c>
      <c r="C31" s="1" t="s">
        <v>60</v>
      </c>
    </row>
    <row r="32" spans="1:3" x14ac:dyDescent="0.3">
      <c r="A32" s="1">
        <v>30</v>
      </c>
      <c r="B32" s="1" t="s">
        <v>31</v>
      </c>
      <c r="C32" s="1" t="s">
        <v>61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rough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jaiswal</dc:creator>
  <cp:lastModifiedBy>Shivam jaiswal</cp:lastModifiedBy>
  <cp:lastPrinted>2025-12-13T09:05:49Z</cp:lastPrinted>
  <dcterms:created xsi:type="dcterms:W3CDTF">2025-12-13T03:02:28Z</dcterms:created>
  <dcterms:modified xsi:type="dcterms:W3CDTF">2025-12-16T06:05:32Z</dcterms:modified>
</cp:coreProperties>
</file>